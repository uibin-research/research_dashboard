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연구전략기획팀(26.09.~)\1. 연구 현황 종합 보고(월간)\26.08\"/>
    </mc:Choice>
  </mc:AlternateContent>
  <xr:revisionPtr revIDLastSave="0" documentId="13_ncr:1_{180A052D-BEA5-4CEF-9351-DCC6C101F580}" xr6:coauthVersionLast="47" xr6:coauthVersionMax="47" xr10:uidLastSave="{00000000-0000-0000-0000-000000000000}"/>
  <bookViews>
    <workbookView xWindow="-120" yWindow="-120" windowWidth="29040" windowHeight="15720" activeTab="2" xr2:uid="{A72AC5CA-02C8-41D1-B4F6-8C7A45B1F0D9}"/>
  </bookViews>
  <sheets>
    <sheet name="Sheet1" sheetId="1" r:id="rId1"/>
    <sheet name="Sheet2" sheetId="2" r:id="rId2"/>
    <sheet name="2023" sheetId="3" r:id="rId3"/>
    <sheet name="2024" sheetId="4" r:id="rId4"/>
    <sheet name="2025" sheetId="5" r:id="rId5"/>
    <sheet name="2026" sheetId="6" r:id="rId6"/>
  </sheets>
  <definedNames>
    <definedName name="_xlnm._FilterDatabase" localSheetId="0" hidden="1">Sheet1!$A$1:$AC$241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5" i="6" l="1"/>
  <c r="N4" i="6"/>
  <c r="N3" i="6"/>
  <c r="N2" i="6"/>
  <c r="N5" i="5"/>
  <c r="N4" i="5"/>
  <c r="N3" i="5"/>
  <c r="N2" i="5"/>
  <c r="N5" i="4"/>
  <c r="N4" i="4"/>
  <c r="N3" i="4"/>
  <c r="N2" i="4"/>
  <c r="N5" i="3"/>
  <c r="N4" i="3"/>
  <c r="N3" i="3"/>
  <c r="N2" i="3"/>
  <c r="Q240" i="1"/>
  <c r="P240" i="1"/>
</calcChain>
</file>

<file path=xl/sharedStrings.xml><?xml version="1.0" encoding="utf-8"?>
<sst xmlns="http://schemas.openxmlformats.org/spreadsheetml/2006/main" count="5832" uniqueCount="985">
  <si>
    <t>연도</t>
  </si>
  <si>
    <t>학기</t>
  </si>
  <si>
    <t>소속(대)</t>
  </si>
  <si>
    <t>소속(소)</t>
  </si>
  <si>
    <t>교번</t>
  </si>
  <si>
    <t>성명</t>
  </si>
  <si>
    <t>직급</t>
  </si>
  <si>
    <t>교비여부</t>
  </si>
  <si>
    <t>구분명칭</t>
  </si>
  <si>
    <t>연구분류</t>
  </si>
  <si>
    <t>참여구분</t>
  </si>
  <si>
    <t>참고사항</t>
  </si>
  <si>
    <t>등급</t>
  </si>
  <si>
    <t>펑가사항내용</t>
  </si>
  <si>
    <t>일자</t>
  </si>
  <si>
    <t>연도</t>
    <phoneticPr fontId="3" type="noConversion"/>
  </si>
  <si>
    <t>월</t>
    <phoneticPr fontId="3" type="noConversion"/>
  </si>
  <si>
    <t>승인일자</t>
  </si>
  <si>
    <t>권(호)</t>
  </si>
  <si>
    <t>가중치</t>
  </si>
  <si>
    <t>총 인원</t>
  </si>
  <si>
    <t>책임수</t>
  </si>
  <si>
    <t>공동수</t>
  </si>
  <si>
    <t>보조수</t>
  </si>
  <si>
    <t>기타수</t>
  </si>
  <si>
    <t>기여도</t>
  </si>
  <si>
    <t>실적</t>
  </si>
  <si>
    <t>평가점수</t>
  </si>
  <si>
    <t>2026</t>
  </si>
  <si>
    <t>1학기</t>
  </si>
  <si>
    <t>화학·생명과학대학</t>
  </si>
  <si>
    <t>화학·에너지융합학부 화학나노학전공</t>
  </si>
  <si>
    <t>19941002</t>
  </si>
  <si>
    <t>구상호</t>
  </si>
  <si>
    <t>교수</t>
  </si>
  <si>
    <t>N</t>
  </si>
  <si>
    <t>논문</t>
  </si>
  <si>
    <t>SCIE(통합)</t>
  </si>
  <si>
    <t>책임</t>
  </si>
  <si>
    <t>필수</t>
  </si>
  <si>
    <t>Polar parallel substituents trigger high conductance paths in Carotenoid wires</t>
  </si>
  <si>
    <t>2026-03-04</t>
  </si>
  <si>
    <t>2026-03-24</t>
  </si>
  <si>
    <t>18(10)</t>
  </si>
  <si>
    <t>300</t>
  </si>
  <si>
    <t>12</t>
  </si>
  <si>
    <t>1</t>
  </si>
  <si>
    <t>2</t>
  </si>
  <si>
    <t>9</t>
  </si>
  <si>
    <t>0</t>
  </si>
  <si>
    <t xml:space="preserve"> 0.7</t>
  </si>
  <si>
    <t>방목기초교육대학</t>
  </si>
  <si>
    <t>자연교양</t>
  </si>
  <si>
    <t>19961307</t>
  </si>
  <si>
    <t>윤갑진</t>
  </si>
  <si>
    <t>발행국가가 국내이면 연구분류에서 SCIE가 나오지 않음 (담당자 의견 : SCI DB 확인 완료)</t>
  </si>
  <si>
    <t>ON THE STRUCTURE OF CLOSED GENERALIZED EINSTEIN MANIFOLDS AND RIGIDITY PROPERTIES</t>
  </si>
  <si>
    <t>2026-04-15</t>
  </si>
  <si>
    <t>2026-09-04</t>
  </si>
  <si>
    <t>63(4)</t>
  </si>
  <si>
    <t>3</t>
  </si>
  <si>
    <t>Rigidity of Free Boundary Biharmonic Hypersurfaces in the Unit Ball</t>
  </si>
  <si>
    <t>2026-03-12</t>
  </si>
  <si>
    <t>2026-04-04</t>
  </si>
  <si>
    <t>81(3)</t>
  </si>
  <si>
    <t>On the Structure of Compact Static Vacuum Spaces and Positive Isotropic Curvature</t>
  </si>
  <si>
    <t>2026-03-11</t>
  </si>
  <si>
    <t>29(1)</t>
  </si>
  <si>
    <t>스마트시스템공과대학</t>
  </si>
  <si>
    <t>스마트인프라공학부 스마트모빌리티공학전공</t>
  </si>
  <si>
    <t>19961908</t>
  </si>
  <si>
    <t>손영태</t>
  </si>
  <si>
    <t>공동</t>
  </si>
  <si>
    <t>Empirical-Data-Driven LOS Reclassification via Adaptive Branching Framework for Reflecting Urban Traffic Heterogeneity</t>
  </si>
  <si>
    <t>2026-06-30</t>
  </si>
  <si>
    <t>2026-08-18</t>
  </si>
  <si>
    <t>16(12)</t>
  </si>
  <si>
    <t>5</t>
  </si>
  <si>
    <t xml:space="preserve"> 0.3</t>
  </si>
  <si>
    <t>기계시스템공학부 로봇공학전공</t>
  </si>
  <si>
    <t>19971902</t>
  </si>
  <si>
    <t>박강</t>
  </si>
  <si>
    <t>KCI</t>
  </si>
  <si>
    <t>다층 PCB 기판에 대한 Trace 기반 열-기계 휨 해석 및 지지 조건 민감도 연구</t>
  </si>
  <si>
    <t>2026-03-01</t>
  </si>
  <si>
    <t>2026-06-04</t>
  </si>
  <si>
    <t>31(1)</t>
  </si>
  <si>
    <t>150</t>
  </si>
  <si>
    <t>6</t>
  </si>
  <si>
    <t>국소 온도 제어를 통한 Dead Zone 이동 및 환기효율 향상에 관한 연구</t>
  </si>
  <si>
    <t>교육대학원</t>
  </si>
  <si>
    <t>교육학과 체육교육</t>
  </si>
  <si>
    <t>19993976</t>
  </si>
  <si>
    <t>고성희</t>
  </si>
  <si>
    <t>부교수(교육중점교수)</t>
  </si>
  <si>
    <t>장애아동의 체육수업 참여 경험에 대한 근거이론 분석*</t>
  </si>
  <si>
    <t>2026-04-30</t>
  </si>
  <si>
    <t>2026-07-13</t>
  </si>
  <si>
    <t xml:space="preserve"> 1.0</t>
  </si>
  <si>
    <t>운동경기 스폰서십이 소비자의 브랜드 인지에 미치는 영향</t>
  </si>
  <si>
    <t>2026-08-31</t>
  </si>
  <si>
    <t>11(2)</t>
  </si>
  <si>
    <t>건축대학</t>
  </si>
  <si>
    <t>건축학부 건축학전공</t>
  </si>
  <si>
    <t>20001304</t>
  </si>
  <si>
    <t>정영수</t>
  </si>
  <si>
    <t>Predicting Repair Costs of Residential Facilities Using Deep Learning Algorithms</t>
  </si>
  <si>
    <t>2026-07-20</t>
  </si>
  <si>
    <t>16(13)</t>
  </si>
  <si>
    <t>4</t>
  </si>
  <si>
    <t>(일반)대학원</t>
  </si>
  <si>
    <t>융합헬스케어학과</t>
  </si>
  <si>
    <t>20003344</t>
  </si>
  <si>
    <t>이재범</t>
  </si>
  <si>
    <t>저서</t>
  </si>
  <si>
    <t>대학교재급 저서</t>
  </si>
  <si>
    <t>2026학년도 제3차 교수성과위원회 연구업적 심의 본 저서는 융합헬스케어연구소에서 학술연구 및 장비연구로 활용되고 있는 MCC(Microcurrent Care) 장비에</t>
  </si>
  <si>
    <t>스마트뷰티 장비연구 Vol.2</t>
  </si>
  <si>
    <t>2026-04-20</t>
  </si>
  <si>
    <t>2026-06-28</t>
  </si>
  <si>
    <t>100</t>
  </si>
  <si>
    <t>7</t>
  </si>
  <si>
    <t xml:space="preserve"> 0.1</t>
  </si>
  <si>
    <t>스마트뷰티 멀티샵 관리자의 1인 크리에이터 숏폼 제작 경험 탐색 : 주제분석 방법을 활용하여</t>
  </si>
  <si>
    <t>2026-07-07</t>
  </si>
  <si>
    <t>12(6)</t>
  </si>
  <si>
    <t>디지털 환경에서의 e-헬스 리터러시가 액티브시니어의 웰니스에 미치는 영향 분석</t>
  </si>
  <si>
    <t>여성의 5주간 블렌디드 러닝 기반 기공수업 특이성과 스트레스 지수 변화 고찰</t>
  </si>
  <si>
    <t>2026-05-31</t>
  </si>
  <si>
    <t>2026-06-01</t>
  </si>
  <si>
    <t>21(2)</t>
  </si>
  <si>
    <t>KCI등재후보</t>
  </si>
  <si>
    <t>Effects of Hydrogen-ionized Silica Intake on Blood Biomarkers in Adults: Multinational Exploratory Study of Korea, Japan, Thailand, and Taiwan</t>
  </si>
  <si>
    <t>11(1)</t>
  </si>
  <si>
    <t>105</t>
  </si>
  <si>
    <t>Policy Proposals for Safe Livestock Product Consumption and Zero Waste Realization</t>
  </si>
  <si>
    <t>성인학습자의 디지털 출판 학습 경험과 삶의 태도 변화 탐색 : Giorgi 기술적 현상학 접근</t>
  </si>
  <si>
    <t>12(5)</t>
  </si>
  <si>
    <t>사회과학대학</t>
  </si>
  <si>
    <t>법학과</t>
  </si>
  <si>
    <t>20010010</t>
  </si>
  <si>
    <t>선정원</t>
  </si>
  <si>
    <t>연구년 실적물</t>
  </si>
  <si>
    <t>지방소멸위험에 대응한 광역통합과 국가법학</t>
  </si>
  <si>
    <t>2026-07-14</t>
  </si>
  <si>
    <t>22(2)</t>
  </si>
  <si>
    <t>스마트인프라공학부 건설환경공학전공</t>
  </si>
  <si>
    <t>20010014</t>
  </si>
  <si>
    <t>김영욱</t>
  </si>
  <si>
    <t>사면 보강용 투수성 그라우트의 개발 및 성능 평가</t>
  </si>
  <si>
    <t>2026-05-01</t>
  </si>
  <si>
    <t>2026-05-08</t>
  </si>
  <si>
    <t>27(5)</t>
  </si>
  <si>
    <t>동결융해 조건에서 바이오폴리머로 처리된 조립질 풍화토 입자의 바인딩 특성</t>
  </si>
  <si>
    <t>2026-05-02</t>
  </si>
  <si>
    <t>42(2)</t>
  </si>
  <si>
    <t>스포츠학부(체육학전공, 스포츠산업학전공)</t>
  </si>
  <si>
    <t>체육학전공</t>
  </si>
  <si>
    <t>20010015</t>
  </si>
  <si>
    <t>김주학</t>
  </si>
  <si>
    <t>K리그 측면 공격수의 경기 이벤트 데이터 기반 플레이 스타일 유형화</t>
  </si>
  <si>
    <t>28(5)</t>
  </si>
  <si>
    <t>스포츠·예술대학</t>
  </si>
  <si>
    <t>아트앤멀티미디어음악학부 작곡전공</t>
  </si>
  <si>
    <t>20020364</t>
  </si>
  <si>
    <t>김시형</t>
  </si>
  <si>
    <t>공연.발표.대국</t>
  </si>
  <si>
    <t>2026학년도 제3차 교수성과위원회 연구업적 심의 결과</t>
  </si>
  <si>
    <t>위대한 대한민국 - 영광의 서막 (Great Korea - Prelude to Glory) With Vocal &amp; Ensemble</t>
  </si>
  <si>
    <t>2026-05-27</t>
  </si>
  <si>
    <t>40</t>
  </si>
  <si>
    <t>2026학년도 제3차 교수성과위원회 연구업적 심의 결과 가중치150, 기여도1, 평가점수 20</t>
  </si>
  <si>
    <t>운명처럼 너를 다시 (Vocal &amp; Ensemble)</t>
  </si>
  <si>
    <t>2026-04-01</t>
  </si>
  <si>
    <t>20</t>
  </si>
  <si>
    <t>대한민국 - 대구 With Orchestra</t>
  </si>
  <si>
    <t>2026-03-18</t>
  </si>
  <si>
    <t>대한민국 - 울산 with Orchestra</t>
  </si>
  <si>
    <t>2026학년도 제3차 교수성과위원회 연구업적 심의 결과  가중치150, 기여도1, 평가점수 20</t>
  </si>
  <si>
    <t>당연했던 그 사랑 (Vocal &amp; Ensemble)</t>
  </si>
  <si>
    <t>2026-04-29</t>
  </si>
  <si>
    <t>함께 하는 봄 (Vocal &amp; Ensemble)</t>
  </si>
  <si>
    <t>대한민국-한강, 희망의 서사시  With Orchestra</t>
  </si>
  <si>
    <t>2026-05-13</t>
  </si>
  <si>
    <t>30</t>
  </si>
  <si>
    <t>20030041</t>
  </si>
  <si>
    <t>이준석</t>
  </si>
  <si>
    <t>건축 색채, 재료를 바탕으로 도시경관계획의 필요성과 후퇴색 효과를 위한 가이드 제안</t>
  </si>
  <si>
    <t>2026-07-01</t>
  </si>
  <si>
    <t>(94)</t>
  </si>
  <si>
    <t>반도체·ICT대학</t>
  </si>
  <si>
    <t>전기전자공학부 전기공학전공</t>
  </si>
  <si>
    <t>20030104</t>
  </si>
  <si>
    <t>손영익</t>
  </si>
  <si>
    <t>Design and Experimental Validation of an ISMC-Based Position Controller with Supervisory RBF Neural Network and PIO for BLDC Motor Systems</t>
  </si>
  <si>
    <t>2026-08-01</t>
  </si>
  <si>
    <t>15(15)</t>
  </si>
  <si>
    <t>통합치료대학원</t>
  </si>
  <si>
    <t>음악치료학과</t>
  </si>
  <si>
    <t>20030592</t>
  </si>
  <si>
    <t>문소영</t>
  </si>
  <si>
    <t>교수(전문교수)</t>
  </si>
  <si>
    <t>SMSSM-R 음악중재 프레임워크와 Attention-Based Multi-Task LSTM 모델을 활용한 음악 감정 분석 체계 구축</t>
  </si>
  <si>
    <t>2026-06-27</t>
  </si>
  <si>
    <t>2026-08-23</t>
  </si>
  <si>
    <t>27(6)</t>
  </si>
  <si>
    <t>인문대학</t>
  </si>
  <si>
    <t>인문콘텐츠학부 미술사·역사학전공</t>
  </si>
  <si>
    <t>20030899</t>
  </si>
  <si>
    <t>이주현</t>
  </si>
  <si>
    <t>해파 화가 蒲華(1832-1911)의 대나무 그림 연구</t>
  </si>
  <si>
    <t>47(3)</t>
  </si>
  <si>
    <t>미디어·휴먼라이프대학</t>
  </si>
  <si>
    <t>청소년지도·아동학부 아동학전공</t>
  </si>
  <si>
    <t>20040025</t>
  </si>
  <si>
    <t>김정민</t>
  </si>
  <si>
    <t>초기 성인기의 성인애착이 관계중독에 미치는 영향: 자아분화와 우울의 이중매개효과</t>
  </si>
  <si>
    <t>2026-07-09</t>
  </si>
  <si>
    <t>청소년의 또래괴롭힘 피해경험이 비자살적 자해에 미치는 영향: 충동성 및 불안의 조절효과</t>
  </si>
  <si>
    <t>2026-03-31</t>
  </si>
  <si>
    <t>23(1)</t>
  </si>
  <si>
    <t>경계선지능 청소년을 위한 인지행동치료 프로그램이 우울, 불안, 문제해결기술 및 사회성 기술에 미치는 영향</t>
  </si>
  <si>
    <t>42(1)</t>
  </si>
  <si>
    <t>외상경험이 있는 성인의 성격 5요인이 외상 후 성장에 미치는 영향: 지각된 통제감과 외상 후 인지의 이중매개효과</t>
  </si>
  <si>
    <t>대학생이 지각한 모의 역기능적 양육태도가 정서적 섭식에 미치는 영향: 부정적 평가에 대한 두려움의 매개효과</t>
  </si>
  <si>
    <t>8(1)</t>
  </si>
  <si>
    <t>20040026</t>
  </si>
  <si>
    <t>한유진</t>
  </si>
  <si>
    <t>대학생의 내현적 자기애 성향이 진로결정 자기효능감에 미치는 영향: 무조건적 자기수용과 경험회피의 순차적 이중매개효과</t>
  </si>
  <si>
    <t>2026-07-06</t>
  </si>
  <si>
    <t>33(5)</t>
  </si>
  <si>
    <t>20040028</t>
  </si>
  <si>
    <t>홍명수</t>
  </si>
  <si>
    <t>미국 반독점법상 노동면책 법리에 관한 고찰</t>
  </si>
  <si>
    <t>2026-07-31</t>
  </si>
  <si>
    <t>25(1)</t>
  </si>
  <si>
    <t>기록정보과학전문대학원</t>
  </si>
  <si>
    <t>문화자원기록전공</t>
  </si>
  <si>
    <t>20040145</t>
  </si>
  <si>
    <t>박주석</t>
  </si>
  <si>
    <t>Y</t>
  </si>
  <si>
    <t>컬렉션과 아카이브의 단절</t>
  </si>
  <si>
    <t>2026-05-15</t>
  </si>
  <si>
    <t>(88)</t>
  </si>
  <si>
    <t>20040279</t>
  </si>
  <si>
    <t>박정민</t>
  </si>
  <si>
    <t>조선시대 소비 유적 출토 명문 백자의 연구 양상과 활용 가치</t>
  </si>
  <si>
    <t>2026-04-16</t>
  </si>
  <si>
    <t>22()</t>
  </si>
  <si>
    <t>융합바이오학부 시스템생명과학전공</t>
  </si>
  <si>
    <t>20040380</t>
  </si>
  <si>
    <t>이정훈</t>
  </si>
  <si>
    <t>부교수(연구전담교수)</t>
  </si>
  <si>
    <t>Comparative genomic analyses of Escherichia coli ST405 strains from Pakistan</t>
  </si>
  <si>
    <t>2026-03-16</t>
  </si>
  <si>
    <t>11(4)</t>
  </si>
  <si>
    <t>8</t>
  </si>
  <si>
    <t xml:space="preserve"> 0.4</t>
  </si>
  <si>
    <t>반도체공학부</t>
  </si>
  <si>
    <t>20040600</t>
  </si>
  <si>
    <t>홍상진</t>
  </si>
  <si>
    <t>N2 퍼지 유량 변경을 통한 EFEM 쿨링 스테이션의 에어커튼 성능 향상</t>
  </si>
  <si>
    <t>25(2)</t>
  </si>
  <si>
    <t>Enhancement of Etch Rate and Selectivity for Tungsten Carbide Hardmask</t>
  </si>
  <si>
    <t>2026-04-03</t>
  </si>
  <si>
    <t>44(3)</t>
  </si>
  <si>
    <t>석사과정 서강혁 연구조교 의무논문</t>
  </si>
  <si>
    <t>Non-invasive real-time sheath diagnostics using RF wall sensor: application to transformer coupled plasma-reactive ion etch system</t>
  </si>
  <si>
    <t>2026-04-24</t>
  </si>
  <si>
    <t>65(8)</t>
  </si>
  <si>
    <t>인문콘텐츠학부 문헌정보학전공</t>
  </si>
  <si>
    <t>20050135</t>
  </si>
  <si>
    <t>김영석</t>
  </si>
  <si>
    <t>우리나라 창작동화에 나타난 공공도서관 이미지 분석 연구</t>
  </si>
  <si>
    <t>2026-03-08</t>
  </si>
  <si>
    <t>37(1)</t>
  </si>
  <si>
    <t xml:space="preserve"> 0.0</t>
  </si>
  <si>
    <t>20050190</t>
  </si>
  <si>
    <t>남순열</t>
  </si>
  <si>
    <t>SCOPUS</t>
  </si>
  <si>
    <t>A Study on Weight Optimization of DNN-Based Voltage Control for PV-Integrated Distribution Networks</t>
  </si>
  <si>
    <t>2026-06-18</t>
  </si>
  <si>
    <t>75(4)</t>
  </si>
  <si>
    <t>스포츠산업학전공</t>
  </si>
  <si>
    <t>20050501</t>
  </si>
  <si>
    <t>김상유</t>
  </si>
  <si>
    <t>스포츠 브랜드 라이브커머스 마케팅 특성, 온라인 몰입감, 중국 소비자의 충동적 구매의도 간의 구조적 관계 연구</t>
  </si>
  <si>
    <t>17(3)</t>
  </si>
  <si>
    <t>Intervention Effects of Recreational Football on Obesity-Related Health Outcomes: A Systematic Review and Meta-Analysis</t>
  </si>
  <si>
    <t>아동심리치료학과</t>
  </si>
  <si>
    <t>20050752</t>
  </si>
  <si>
    <t>노남숙</t>
  </si>
  <si>
    <t>AEDP 기반 인형치료 집단프로그램이 평가염려 완벽주의 성향 예비 놀이치료자의 무조건적 자기수용과 타인수용에 미치는 영향</t>
  </si>
  <si>
    <t>2026-06-11</t>
  </si>
  <si>
    <t>12(1)</t>
  </si>
  <si>
    <t xml:space="preserve"> 0.5</t>
  </si>
  <si>
    <t>20060572</t>
  </si>
  <si>
    <t>김지현</t>
  </si>
  <si>
    <t>유아기 자녀를 둔 부모의 지역사회육아친화성이 유아교육공동체역량에 미치는 영향에 대한 부모자녀놀이상호작용의 매개효과</t>
  </si>
  <si>
    <t>22(3)</t>
  </si>
  <si>
    <t>유아교사의 유아권리인식과 교육과정 운영 자율성과의 관계: 조직창의성의 조절효과</t>
  </si>
  <si>
    <t>유아의 코딩로봇 놀이에서 나타난 배움의 양상 탐색</t>
  </si>
  <si>
    <t>2026-06-02</t>
  </si>
  <si>
    <t>47(2)</t>
  </si>
  <si>
    <t>STEAM 기반 언플러그드 코딩놀이가 유아의 컴퓨팅 사고력, 수학적 문제해결력, 창의성 및 놀이성에 미치는 효과</t>
  </si>
  <si>
    <t>2026-05-12</t>
  </si>
  <si>
    <t>31(2)</t>
  </si>
  <si>
    <t>공공인재학부 정치외교학전공</t>
  </si>
  <si>
    <t>20060644</t>
  </si>
  <si>
    <t>이무성</t>
  </si>
  <si>
    <t>연구년결과물</t>
  </si>
  <si>
    <t>유럽연합의 인도-태평양 전략: 규범 권력으로서 존재론적 안보</t>
  </si>
  <si>
    <t>44(2)</t>
  </si>
  <si>
    <t>20060653</t>
  </si>
  <si>
    <t>남수현</t>
  </si>
  <si>
    <t>A Study on the Spatial Characteristics of "Collective Ownership" in Snøhetta’s Library Architecture</t>
  </si>
  <si>
    <t>42(7)</t>
  </si>
  <si>
    <t>아시아·중동어문학부 중어중문학전공</t>
  </si>
  <si>
    <t>20070070</t>
  </si>
  <si>
    <t>김명구</t>
  </si>
  <si>
    <t>중국 고전서사에서 문화 체험으로 — 테마파크, 게이미피케이션, 지역 축제 사례를 중심으로</t>
  </si>
  <si>
    <t>(79)</t>
  </si>
  <si>
    <t>미래융합대학</t>
  </si>
  <si>
    <t>법무행정학과</t>
  </si>
  <si>
    <t>20070071</t>
  </si>
  <si>
    <t>기정훈</t>
  </si>
  <si>
    <t>COVID-19의 발생과 확산에 대한 장소 기반의 공간분석연구구: 경기도 코로나 확진자 방문 장소를 중심으로</t>
  </si>
  <si>
    <t>2026-04-08</t>
  </si>
  <si>
    <t>38(1)</t>
  </si>
  <si>
    <t>자본유입에 따른 라진･선봉 경제특구의 도시공간 구조 변화: 위성 영상 GHSL데이터 기반 시계열 분석을 중심으로</t>
  </si>
  <si>
    <t>38(2)</t>
  </si>
  <si>
    <t>화학·에너지융합학부 융합에너지학전공</t>
  </si>
  <si>
    <t>20070073</t>
  </si>
  <si>
    <t>이지우</t>
  </si>
  <si>
    <t>기존 판본에는 참여한 적이 없고 이번 판본에만 참여하였음  공동저자 수는  총 81명임 / 1차 교수성과위원회 심의결과 100/10</t>
  </si>
  <si>
    <t>일반물리학</t>
  </si>
  <si>
    <t>2026-03-05</t>
  </si>
  <si>
    <t>2026-03-30</t>
  </si>
  <si>
    <t>Phase transitions of a three-dimensional spin-half quantum XXZ model: a quantum Monte Carlo study</t>
  </si>
  <si>
    <t>2026-07-16</t>
  </si>
  <si>
    <t>88(12)</t>
  </si>
  <si>
    <t>20070076</t>
  </si>
  <si>
    <t>김남훈</t>
  </si>
  <si>
    <t>20070453</t>
  </si>
  <si>
    <t>김태완</t>
  </si>
  <si>
    <t>Syntactic and Semantic Validation of CIM Payloads in SOAP Message for IEC 61968</t>
  </si>
  <si>
    <t>75(5)</t>
  </si>
  <si>
    <t>청소년지도·아동학부 청소년지도학전공</t>
  </si>
  <si>
    <t>20070634</t>
  </si>
  <si>
    <t>이은경</t>
  </si>
  <si>
    <t>청소년 자녀를 둔 어머니의 원가족 애착경험이 양육행동에 미치는 영향: 자기위로능력과 정서조절곤란의 매개효과를 중심으로</t>
  </si>
  <si>
    <t>10(1)</t>
  </si>
  <si>
    <t>경영대학</t>
  </si>
  <si>
    <t>경영학부 경영학전공</t>
  </si>
  <si>
    <t>20070638</t>
  </si>
  <si>
    <t>김연신</t>
  </si>
  <si>
    <t>중국인 관광객의 해외 관광지 선택속성이 방한 의도에 미치는 영향:  성별 조절 효과를 중심으로</t>
  </si>
  <si>
    <t>27(3)</t>
  </si>
  <si>
    <t>컴퓨터정보통신공학부 정보통신공학전공</t>
  </si>
  <si>
    <t>20070658</t>
  </si>
  <si>
    <t>배종우</t>
  </si>
  <si>
    <t>전자책</t>
  </si>
  <si>
    <t>Modern C++ Programming - 객체지향과 자원관리로 배우는 쾌적한 C++</t>
  </si>
  <si>
    <t>2026-03-02</t>
  </si>
  <si>
    <t>20070818</t>
  </si>
  <si>
    <t>최세련</t>
  </si>
  <si>
    <t>국제사법상 공동해손, 선박충돌 및 해난구조 규정에 대한 고찰</t>
  </si>
  <si>
    <t>48(2)</t>
  </si>
  <si>
    <t>전기전자공학부 전자공학전공</t>
  </si>
  <si>
    <t>20080027</t>
  </si>
  <si>
    <t>조일환</t>
  </si>
  <si>
    <t>Analysis of temperature dependent characteristics of photodetector based on feedback field effect transistor</t>
  </si>
  <si>
    <t>2026-02-22</t>
  </si>
  <si>
    <t>84()</t>
  </si>
  <si>
    <t>Investigation of Ternary Operation 1T DRAM with Double Quantum Well Structure</t>
  </si>
  <si>
    <t>26(2)</t>
  </si>
  <si>
    <t>20080030</t>
  </si>
  <si>
    <t>권승희</t>
  </si>
  <si>
    <t>기존 구조물의 안전성 평가를 위한 콘크리트 압축강도 평가방법 개선방안</t>
  </si>
  <si>
    <t xml:space="preserve"> 0.2</t>
  </si>
  <si>
    <t>20080033</t>
  </si>
  <si>
    <t>선우현</t>
  </si>
  <si>
    <t>AI 관계구조 진단모델에 기반한 부모-자녀 관계에서 아동진술 토픽모델 분석</t>
  </si>
  <si>
    <t>2026-05-10</t>
  </si>
  <si>
    <t>37(2)</t>
  </si>
  <si>
    <t>학대피해아동의 내면경험 탐색: 인공지능 기반 아동학대 진단시스템을 기반으로</t>
  </si>
  <si>
    <t>경영정보학과</t>
  </si>
  <si>
    <t>20080580</t>
  </si>
  <si>
    <t>강영식</t>
  </si>
  <si>
    <t>Agentic AI 기반 다중 에이전트 협업 구조를 활용한 화장품 제조기업 처방등록 프로세스 혁신 모델 설계</t>
  </si>
  <si>
    <t>Digital Health and AI Competency Framework for HIM Education: A Glocal University Perspective</t>
  </si>
  <si>
    <t>디지털 감사의 기술 동향과 사례 분석: 한국연구재단의 디지털 감사 적용</t>
  </si>
  <si>
    <t>27(2)</t>
  </si>
  <si>
    <t>20080582</t>
  </si>
  <si>
    <t>이준영</t>
  </si>
  <si>
    <t>7-kW_Bidirectional_H-Bridge_Flyback_Converter_for_Onboard_Chargers</t>
  </si>
  <si>
    <t>12(4)</t>
  </si>
  <si>
    <t>사회복지학과</t>
  </si>
  <si>
    <t>20090112</t>
  </si>
  <si>
    <t>백주희</t>
  </si>
  <si>
    <t>발달장애인 자녀를 돌보는 노년기 부모의 삶의 만족도 영향 요인</t>
  </si>
  <si>
    <t>30(1)</t>
  </si>
  <si>
    <t>20090451</t>
  </si>
  <si>
    <t>김민우</t>
  </si>
  <si>
    <t>조교수</t>
  </si>
  <si>
    <t>10.1116/6.0005336</t>
  </si>
  <si>
    <t>Oxidant-driven growth and crystallization of MoOx in H2-gas-free thermal atomic layer deposition using a high-volatility liquid Mo precursor</t>
  </si>
  <si>
    <t>2026-03-27</t>
  </si>
  <si>
    <t>기계시스템공학부 기계공학전공</t>
  </si>
  <si>
    <t>20090610</t>
  </si>
  <si>
    <t>정상국</t>
  </si>
  <si>
    <t>Thermal Recovery of Damaged Hydrophobic Coatings in EWOD Devices Using an Integrated Mesh-Patterned Heater</t>
  </si>
  <si>
    <t>2026-05-21</t>
  </si>
  <si>
    <t>2026-06-19</t>
  </si>
  <si>
    <t>17(5)</t>
  </si>
  <si>
    <t>Liquid-dielectrophoresis based Self-cleaning Glass for Autonomous Driving   Optical Sensors</t>
  </si>
  <si>
    <t>24(2)</t>
  </si>
  <si>
    <t>논문제목(Transparent heater-based active self-cleaning cover lens for physical AI optical sensors) 정정 2026.5.26.</t>
  </si>
  <si>
    <t>Transparent heater-based active self-cleaning cover lens for Physical AI</t>
  </si>
  <si>
    <t>2026-04-26</t>
  </si>
  <si>
    <t>2026-05-26</t>
  </si>
  <si>
    <t>408()</t>
  </si>
  <si>
    <t>20090611</t>
  </si>
  <si>
    <t>김영민</t>
  </si>
  <si>
    <t>미륵사지 동･서원 중문의 구조성능 평가</t>
  </si>
  <si>
    <t>39(2)</t>
  </si>
  <si>
    <t>20090677</t>
  </si>
  <si>
    <t>이재인</t>
  </si>
  <si>
    <t>자하 하디드의 막시 미술관에 나타난 해체주의와 디지털 건축 전시 공간 특성에 관한 연구</t>
  </si>
  <si>
    <t>2026-07-27</t>
  </si>
  <si>
    <t>아시아·중동어문학부 아랍지역학전공</t>
  </si>
  <si>
    <t>20100688</t>
  </si>
  <si>
    <t>김정명</t>
  </si>
  <si>
    <t>파즐루르 라흐만의 해석학 구조 연구:  이중 운동 이론과 생동하는 순나의 재구성</t>
  </si>
  <si>
    <t>부동산학과</t>
  </si>
  <si>
    <t>20110554</t>
  </si>
  <si>
    <t>이상영</t>
  </si>
  <si>
    <t>한일 리츠의 발전 과정에 대한 비교</t>
  </si>
  <si>
    <t>2026-06-05</t>
  </si>
  <si>
    <t>(127)</t>
  </si>
  <si>
    <t>20110557</t>
  </si>
  <si>
    <t>김영희</t>
  </si>
  <si>
    <t>교수(교양교수)</t>
  </si>
  <si>
    <t>연구년 결과물</t>
  </si>
  <si>
    <t>ON LINEAR GROUPOIDS AND QUADRATIC ALGEBRAS OVER REALS</t>
  </si>
  <si>
    <t>2026-09-01</t>
  </si>
  <si>
    <t>34(2)</t>
  </si>
  <si>
    <t>디자인학부 패션디자인전공</t>
  </si>
  <si>
    <t>20110678</t>
  </si>
  <si>
    <t>이민선</t>
  </si>
  <si>
    <t>설계.디자인.전시</t>
  </si>
  <si>
    <t>KOCON2026 International Digital Design Invitation Exhibition</t>
  </si>
  <si>
    <t>20110909</t>
  </si>
  <si>
    <t>이재윤</t>
  </si>
  <si>
    <t>오픈액세스 단행본 생태계에서 도서관의 참여 활동 유형과 역할 분석</t>
  </si>
  <si>
    <t>2026-05-30</t>
  </si>
  <si>
    <t>60(2)</t>
  </si>
  <si>
    <t>국내외 AI 리터러시 연구의 학제적 지식구조 비교 분석</t>
  </si>
  <si>
    <t>한국어 번역 독일문학 서지에 나타난 역자의 번역 활동과 관계 구조의 역사 계량서지학적 분석</t>
  </si>
  <si>
    <t>20120078</t>
  </si>
  <si>
    <t>윤현덕</t>
  </si>
  <si>
    <t>Wind tunnel estimation of aeolian mass flux using image-based particle tracking velocimetry</t>
  </si>
  <si>
    <t>2026-06-15</t>
  </si>
  <si>
    <t>208()</t>
  </si>
  <si>
    <t>인문콘텐츠학부 국어국문학전공</t>
  </si>
  <si>
    <t>20120639</t>
  </si>
  <si>
    <t>이수형</t>
  </si>
  <si>
    <t>이승우의 ｢예언자론｣에 나타난 상호텍스트성 연구</t>
  </si>
  <si>
    <t>2026-04-14</t>
  </si>
  <si>
    <t>20120752</t>
  </si>
  <si>
    <t>김진욱</t>
  </si>
  <si>
    <t>순환학습 기반 영아 놀이지원 교사교육 프로그램의 개발 및 효과: 놀이지원역량, 놀이민감성, 놀이교수효능감을 중심으로</t>
  </si>
  <si>
    <t>중국 출신 어머니의 이중언어교육 인식, 이중문화 역량 및 어머니-자녀 간 이중언어 사용도가 자녀의 한국어와 중국어 사용 능력에 미치는 영향</t>
  </si>
  <si>
    <t>44(1)</t>
  </si>
  <si>
    <t>경상·통계학부 경제학전공</t>
  </si>
  <si>
    <t>20130008</t>
  </si>
  <si>
    <t>김두얼</t>
  </si>
  <si>
    <t>문화와 경제성장: 조엘 모키어의 학문 세계와 함의</t>
  </si>
  <si>
    <t>10()</t>
  </si>
  <si>
    <t>제정형법 각칙의 형벌 체계에 관한 비교 연구 - 일본 형법과 비교를 중심으로</t>
  </si>
  <si>
    <t>20130009</t>
  </si>
  <si>
    <t>정회옥</t>
  </si>
  <si>
    <t>여성과 청년 집단의 기술적 대표성은 무엇을 바꾸는가: 제7·8회 지방선거를 중심으로</t>
  </si>
  <si>
    <t>2026-06-25</t>
  </si>
  <si>
    <t>디지털미디어학부</t>
  </si>
  <si>
    <t>20130010</t>
  </si>
  <si>
    <t>문신일</t>
  </si>
  <si>
    <t>중국인 유학생의 SNS 이용에 따른 문화적응 효과: 결속형·교량형 사회적 자본의 매개 역할을 중심으로</t>
  </si>
  <si>
    <t>2026-05-28</t>
  </si>
  <si>
    <t>26(5)</t>
  </si>
  <si>
    <t>융합바이오학부 식품영양학전공</t>
  </si>
  <si>
    <t>20130015</t>
  </si>
  <si>
    <t>이영미</t>
  </si>
  <si>
    <t>Foodservice management and nutrition education status and needs for individuals with developmental disabilities in welfare facilities in Seoul and Gyeonggi, Korea</t>
  </si>
  <si>
    <t>2026-06-12</t>
  </si>
  <si>
    <t>20130016</t>
  </si>
  <si>
    <t>이창로</t>
  </si>
  <si>
    <t>Recent trends in dual-acting hybrid antibiotics and combination therapies against Gram-negative pathogens</t>
  </si>
  <si>
    <t>64(3)</t>
  </si>
  <si>
    <t>화공신소재공학부 신소재공학전공</t>
  </si>
  <si>
    <t>20130020</t>
  </si>
  <si>
    <t>신찬선</t>
  </si>
  <si>
    <t>Quantifying helium-bubble swelling in RAFM steels using TEM and the surface-step method</t>
  </si>
  <si>
    <t>2026-03-03</t>
  </si>
  <si>
    <t>46()</t>
  </si>
  <si>
    <t>20130021</t>
  </si>
  <si>
    <t>박만우</t>
  </si>
  <si>
    <t>Real-time AR-based information retrieval for dynamic objects on construction sites</t>
  </si>
  <si>
    <t>30(7)</t>
  </si>
  <si>
    <t>아트앤멀티미디어음악학부 보컬뮤직전공</t>
  </si>
  <si>
    <t>20130023</t>
  </si>
  <si>
    <t>양지영</t>
  </si>
  <si>
    <t>1차 교수성과위원회 심의결과 평가점수30</t>
  </si>
  <si>
    <t>The Living God (내 주님은 살아계셔 &amp; 내 주의 나라와 )</t>
  </si>
  <si>
    <t>2026-03-07</t>
  </si>
  <si>
    <t>The Resurrection (무덤에 머물러)</t>
  </si>
  <si>
    <t>2026-03-06</t>
  </si>
  <si>
    <t>The Cross (주 달려 죽은십자가&amp;갈보리산 위에)</t>
  </si>
  <si>
    <t>20130408</t>
  </si>
  <si>
    <t>최선아</t>
  </si>
  <si>
    <t>전문학술저서(book chapter 논문모음)</t>
  </si>
  <si>
    <t>물품으로 본 고려시대 교류와 욕망, 신앙과 기록의 시대</t>
  </si>
  <si>
    <t>2026-04-10</t>
  </si>
  <si>
    <t>200</t>
  </si>
  <si>
    <t>10</t>
  </si>
  <si>
    <t>낙산과 보타산, 그리고 고려 수월관음도-성지(聖地)와 상(像), 진신(眞身)의 삼각관계-</t>
  </si>
  <si>
    <t>(37)</t>
  </si>
  <si>
    <t>존상 순례의 성립과 일본 사이고쿠(西國) 33소 관음영장 순례</t>
  </si>
  <si>
    <t>20140002</t>
  </si>
  <si>
    <t>하민우</t>
  </si>
  <si>
    <t>2 저자, 3 저자 성균관대학교 학생임 (기타 적용)</t>
  </si>
  <si>
    <t>Organic-inorganic passivation for improved stability and suppressed electrical degradation in solution-processed a-IGZO thin-film transistors</t>
  </si>
  <si>
    <t>2026-08-15</t>
  </si>
  <si>
    <t>1079()</t>
  </si>
  <si>
    <t>20140003</t>
  </si>
  <si>
    <t>박용태</t>
  </si>
  <si>
    <t>DOI:10.1021/acsaelm.6c00952</t>
  </si>
  <si>
    <t>Combined enhancement of organic thermoelectric multilayers via conformational control and acid doping</t>
  </si>
  <si>
    <t>2026-08-11</t>
  </si>
  <si>
    <t>8(15)</t>
  </si>
  <si>
    <t>Synergistic flame retardancy enabled by boehmite/poly(acrylic acid)/graphene oxide hybrid multilayered nanocomposites</t>
  </si>
  <si>
    <t>53()</t>
  </si>
  <si>
    <t>Graphene nanoplatelets-infused gelatin organohydrogel electrodes with antifreezing stability for stretchable triboelectric nanogenerators</t>
  </si>
  <si>
    <t>2026-05-05</t>
  </si>
  <si>
    <t>539()</t>
  </si>
  <si>
    <t>DOI:10.1002/adfm.76403</t>
  </si>
  <si>
    <t>Transparent and robust LiCl–organohydrogel triboelectric nanogenerator with deep learning assisted sensing</t>
  </si>
  <si>
    <t>2026-07-02</t>
  </si>
  <si>
    <t>36(53)</t>
  </si>
  <si>
    <t>아시아·중동어문학부 글로벌한국어학전공</t>
  </si>
  <si>
    <t>20150014</t>
  </si>
  <si>
    <t>김지혜</t>
  </si>
  <si>
    <t>화용론적 발화 분석을 통한 한국어 L2 학습자 대상 현대 소설 읽기 방안 - &lt;서울, 1964년 겨울&gt;의 서사 소통 층위를 중심으로</t>
  </si>
  <si>
    <t>(91)</t>
  </si>
  <si>
    <t>ACTFL, CEFR, 한국어 표준 교육과정의 문화 교육 배치 방식 비교 분석: 상호문화 의사소통 역량을 중심으로</t>
  </si>
  <si>
    <t>33(2)</t>
  </si>
  <si>
    <t>20150017</t>
  </si>
  <si>
    <t>주연경</t>
  </si>
  <si>
    <t>SSCI</t>
  </si>
  <si>
    <t>Not All Mistakes Are Judged Alike: Error Severity and the Evaluation of Human Drivers and Autonomous Driving Systems</t>
  </si>
  <si>
    <t>2026-03-20</t>
  </si>
  <si>
    <t>29(2)</t>
  </si>
  <si>
    <t>450</t>
  </si>
  <si>
    <t>20150021</t>
  </si>
  <si>
    <t>김동훈</t>
  </si>
  <si>
    <t>Ferroelectric, magnetic, and magnetoelectric properties of BaTiO3–CoFe2O4 composites</t>
  </si>
  <si>
    <t>2026-04-06</t>
  </si>
  <si>
    <t>132(5)</t>
  </si>
  <si>
    <t>Ferroelectric, magnetic, and leakage current properties of Pb(Zr0.53Ti0.47)O3–CoFe2O4 ceramic composites</t>
  </si>
  <si>
    <t>2026-05-04</t>
  </si>
  <si>
    <t>52(11)</t>
  </si>
  <si>
    <t>공공인재학부 행정학전공</t>
  </si>
  <si>
    <t>20150056</t>
  </si>
  <si>
    <t>이현정</t>
  </si>
  <si>
    <t>The role of fit on emotive strategy and its outcomes: an analusis of street-level bureaucrats</t>
  </si>
  <si>
    <t>48</t>
  </si>
  <si>
    <t>인문교양</t>
  </si>
  <si>
    <t>20150060</t>
  </si>
  <si>
    <t>주민재</t>
  </si>
  <si>
    <t>대학 학습자의 실무형 기획 역량 수행 양상에 관한 실행 연구- 디자인 씽킹 기반 비즈니스 기획서 작성 수업의 적용과 개선 방향을 중심으로</t>
  </si>
  <si>
    <t>2026-05-20</t>
  </si>
  <si>
    <t>17(2)</t>
  </si>
  <si>
    <t>20150133</t>
  </si>
  <si>
    <t>조종원</t>
  </si>
  <si>
    <t>기존 판본에는 참여한 적이 없고 이번 판본에만 참여하였음. 공동저자 수는 총 81명임 / 1차 교수성과위원회 심의결과 100/10</t>
  </si>
  <si>
    <t>20160336</t>
  </si>
  <si>
    <t>김기태</t>
  </si>
  <si>
    <t>창의융합인재학부</t>
  </si>
  <si>
    <t>20160374</t>
  </si>
  <si>
    <t>김지영</t>
  </si>
  <si>
    <t>조교수(교육중점교수)</t>
  </si>
  <si>
    <t>청년 창업가의 창업 초기 직업적 학습 경험에 관한 질적 연구</t>
  </si>
  <si>
    <t>45(1)</t>
  </si>
  <si>
    <t>선취업 후진학 여성 청년의 일·학습 병행 경험과 경력적응</t>
  </si>
  <si>
    <t>45(2)</t>
  </si>
  <si>
    <t>대학 학사 운영 혁신의 유형화와 실행전략 연구: 국내 6개 대학 사례를 중심으로</t>
  </si>
  <si>
    <t>17(1)</t>
  </si>
  <si>
    <t>20170118</t>
  </si>
  <si>
    <t>심준용</t>
  </si>
  <si>
    <t>부교수</t>
  </si>
  <si>
    <t>연구년 결과물 (2024-03-01 - 2025-02-28)</t>
  </si>
  <si>
    <t>조세심판례에 나타난 전환사채 콜옵션 시가 평가 분석: 회계상 공정가치와 세법상 시가를 중심으로</t>
  </si>
  <si>
    <t>43(2)</t>
  </si>
  <si>
    <t>배당기준일 변경이 배당공시에 대한 시장 반응에 미치는 영향</t>
  </si>
  <si>
    <t>20170125</t>
  </si>
  <si>
    <t>이일운</t>
  </si>
  <si>
    <t>Design and Experimental Validation of a 25-kW Dual DAB–CLLC Bidirectional DC/DC Converter With an Ultrawide 200–1000 V Operating Range</t>
  </si>
  <si>
    <t>2026-04-23</t>
  </si>
  <si>
    <t>2026-08-19</t>
  </si>
  <si>
    <t>14()</t>
  </si>
  <si>
    <t>20170145</t>
  </si>
  <si>
    <t>최어진</t>
  </si>
  <si>
    <t>문학작품(중.단편소설,드라마,평론)</t>
  </si>
  <si>
    <t>조선의 책 읽는 사람들</t>
  </si>
  <si>
    <t>50</t>
  </si>
  <si>
    <t>&lt;춘향가&gt; '이별가'의 구성과 변화에 관한 연구</t>
  </si>
  <si>
    <t>(61)</t>
  </si>
  <si>
    <t>&lt;바리데기&gt;의 현대적 재해석과 포스트휴먼(posthuman)적 상상력 - 송경아와 박서련의 소설을 중심으로</t>
  </si>
  <si>
    <t>2026-04-12</t>
  </si>
  <si>
    <t>(102)</t>
  </si>
  <si>
    <t>스마트인프라공학부 환경시스템공학전공</t>
  </si>
  <si>
    <t>20170408</t>
  </si>
  <si>
    <t>김민중</t>
  </si>
  <si>
    <t>Impact of long-term periodicity on the relationship between diurnal temperature range and disease mortality</t>
  </si>
  <si>
    <t>8(6)</t>
  </si>
  <si>
    <t>A multi-sectoral high-resolution emission refinement system for CFD-GIS based air quality modeling</t>
  </si>
  <si>
    <t>68()</t>
  </si>
  <si>
    <t>Bridging the latency gap in satellite data: impact of random forest-based leaf area index on biogenic emissions and air quality over East Asia</t>
  </si>
  <si>
    <t>2026-04-17</t>
  </si>
  <si>
    <t>8(4)</t>
  </si>
  <si>
    <t>Assessing the impacts of urban morphology and emissions on city-scale air quality using a CFD model coupled to chemistry</t>
  </si>
  <si>
    <t>406()</t>
  </si>
  <si>
    <t>Impact of Brown Carbon on the Simulation of Optical Properties over East Asia in a Chemistry–climate Model</t>
  </si>
  <si>
    <t>62(3)</t>
  </si>
  <si>
    <t>20180134</t>
  </si>
  <si>
    <t>김영재</t>
  </si>
  <si>
    <t>행정서비스 인식과 행정부 신뢰 및 정책순응의향의 관계: 국민과 공무원의 인식 격차를 중심으로</t>
  </si>
  <si>
    <t>2026-06-16</t>
  </si>
  <si>
    <t>20(1)</t>
  </si>
  <si>
    <t>기초지자체 공무원의 직무요구와 조직 이탈: 현장 부담이 직무스트레스와 직무만족에 미치는 영향을 중심으로</t>
  </si>
  <si>
    <t>2026-05-09</t>
  </si>
  <si>
    <t>행정 경험의 세 차원과 정부의 질 인식: 행정 부담의 상대적 효과와 조건부 성격</t>
  </si>
  <si>
    <t>2026-06-29</t>
  </si>
  <si>
    <t>아시아·중동어문학부 일어일문학전공</t>
  </si>
  <si>
    <t>20180453</t>
  </si>
  <si>
    <t>곽형덕</t>
  </si>
  <si>
    <t>Korejska diaspora in Knjizevnost</t>
  </si>
  <si>
    <t>20180454</t>
  </si>
  <si>
    <t>서윤정</t>
  </si>
  <si>
    <t>The Formation of An Kyŏn’s Style and Attributed Works: Connoisseurship, Collecting, and Circulation in an East Asian Context</t>
  </si>
  <si>
    <t>329()</t>
  </si>
  <si>
    <t>연구년 업적</t>
  </si>
  <si>
    <t>1803년 〈순조문묘친행작헌례계병(純祖文廟親行酌獻禮稧屛)〉 연구 －〈서원아집도(西園雅集圖)〉 도상의 변용과 19세기 고사인물화 계병－</t>
  </si>
  <si>
    <t>20180455</t>
  </si>
  <si>
    <t>김도형</t>
  </si>
  <si>
    <t>Stata를 활용한 정책평가</t>
  </si>
  <si>
    <t>비공식 노인 돌봄의 경제적 가치</t>
  </si>
  <si>
    <t>32(2)</t>
  </si>
  <si>
    <t>20180457</t>
  </si>
  <si>
    <t>임미희</t>
  </si>
  <si>
    <t>사모펀드의 기업 가치 창출: OB맥주 M&amp;A 사례를 중심으로</t>
  </si>
  <si>
    <t>39(4)</t>
  </si>
  <si>
    <t>산업경영공학과</t>
  </si>
  <si>
    <t>20190103</t>
  </si>
  <si>
    <t>김경민</t>
  </si>
  <si>
    <t>Turn-back Time Analysis based on Simulation Model</t>
  </si>
  <si>
    <t>29(6)</t>
  </si>
  <si>
    <t>PageRank-Based Alternative Route Generation Algorithm for Resolving Train Conflicts</t>
  </si>
  <si>
    <t>29(4)</t>
  </si>
  <si>
    <t>Measuring Indoor Flow Volume in Railway Station via Computer Vision</t>
  </si>
  <si>
    <t>Just-in-time scheduling with battery constraints</t>
  </si>
  <si>
    <t>2026-08-06</t>
  </si>
  <si>
    <t>20190110</t>
  </si>
  <si>
    <t>전진권</t>
  </si>
  <si>
    <t>토마스 힐의 환경 덕 윤리: 이론적 전개와 국내 환경철학의 과제</t>
  </si>
  <si>
    <t>80()</t>
  </si>
  <si>
    <t>20190380</t>
  </si>
  <si>
    <t>김수정</t>
  </si>
  <si>
    <t>유류분과 기여분에 관한 개정민법 제1008조에 대한 재고(再考)- 보상적 증여와 기여분에 대한 비교법적 연구를 중심으로</t>
  </si>
  <si>
    <t>40(2)</t>
  </si>
  <si>
    <t>부동산등기부의 개인정보 공시 및 그 제한 가능성</t>
  </si>
  <si>
    <t>114()</t>
  </si>
  <si>
    <t>20190381</t>
  </si>
  <si>
    <t>정재희</t>
  </si>
  <si>
    <t>2026-06-22</t>
  </si>
  <si>
    <t>20200042</t>
  </si>
  <si>
    <t>안수길</t>
  </si>
  <si>
    <t>장래에 담당할지 불확실한 직무도 형법의 뇌물죄에서 말하는 직무일 수 있는가? - 한국과 독일의 논의를 중심으로 한 스케치</t>
  </si>
  <si>
    <t>20200044</t>
  </si>
  <si>
    <t>이한준</t>
  </si>
  <si>
    <t>생성형 AI 기반 이미지 특성과 머신러닝을 활용한 온라인 선물 플랫폼 소비자 반응 예측 연구</t>
  </si>
  <si>
    <t>31(5)</t>
  </si>
  <si>
    <t>머신러닝과 SHAP 기반 청소년 범불안장애(GAD) 고위험군 식별 모델</t>
  </si>
  <si>
    <t>28(4)</t>
  </si>
  <si>
    <t>KcBERT와 TabNet 스태킹 앙상블을 활용한 하이브리드 야구 승패 예측: KBO 리그 사례를 중심으로</t>
  </si>
  <si>
    <t>24(5)</t>
  </si>
  <si>
    <t>미디어 이용 행태로 본 미디어 정보의 비판적 수용 예측: 랜덤 포레스트와 SHAP 해석</t>
  </si>
  <si>
    <t>감사인 교체의 조기경보 신호: 국내 상장기업의 관리종목 지정 예측에 대한 실증분석</t>
  </si>
  <si>
    <t>28(2)</t>
  </si>
  <si>
    <t>멀티 AI 에이전트 기반 니켈 조달 의사결정지원시스템 프레임워크 설계 및 개발</t>
  </si>
  <si>
    <t>24(7)</t>
  </si>
  <si>
    <t>20200051</t>
  </si>
  <si>
    <t>황종규</t>
  </si>
  <si>
    <t>서울시 가로주택정비사업 행정절차 단계별 사업정체 결정요인 연구</t>
  </si>
  <si>
    <t>에너지융합공학과</t>
  </si>
  <si>
    <t>20200371</t>
  </si>
  <si>
    <t>아툴</t>
  </si>
  <si>
    <t>조교수(연구전담교수)</t>
  </si>
  <si>
    <t>Incorporation of Mg/Al metal oxide into ionic liquids for CO2 capture and conversion into cyclic carbonate under solvent-free conditions</t>
  </si>
  <si>
    <t>2026-03-19</t>
  </si>
  <si>
    <t>7(1)</t>
  </si>
  <si>
    <t>미래융합경영학과</t>
  </si>
  <si>
    <t>20210023</t>
  </si>
  <si>
    <t>김형진</t>
  </si>
  <si>
    <t>메타버스 기반 한국어 교육 산업의 비즈니스 모델 탐색: Synthetic Respondent 방법론을 활용한 다중 이해관계자 분석</t>
  </si>
  <si>
    <t>26(1)</t>
  </si>
  <si>
    <t>전기차 충전인프라 유지관리를 위한 크라우드소싱 기반 O2M 플랫폼 모델 연구</t>
  </si>
  <si>
    <t>25(3)</t>
  </si>
  <si>
    <t>노인용 보이스피싱 취약성 측정 도구에 대한 체계적 고찰</t>
  </si>
  <si>
    <t>K-POP 음악 산업에서의 저작권 보호를 위한 AI-블록체인 기반 음원 사용 이력 관리 아키텍처 설계</t>
  </si>
  <si>
    <t>20210024</t>
  </si>
  <si>
    <t>변하영</t>
  </si>
  <si>
    <t>MVX-CF: A Multi-Value eXpandable Cuckoo Filter for Pending Interest Tables in Named Data Networking</t>
  </si>
  <si>
    <t>2026-08-14</t>
  </si>
  <si>
    <t>Enhanced Bloom Filter-Based Longest-First Search Algorithms for Longest Prefix Matching</t>
  </si>
  <si>
    <t>15(16)</t>
  </si>
  <si>
    <t>아트앤멀티미디어음악학부 건반음악전공</t>
  </si>
  <si>
    <t>20210029</t>
  </si>
  <si>
    <t>김희정</t>
  </si>
  <si>
    <t>피아노 매니아 제3회 정기연주회: 해설이 있는 가족음악회</t>
  </si>
  <si>
    <t>피아노매니아 초청연주: Harmony in Jeju(Piano Ensemble in Resonance)</t>
  </si>
  <si>
    <t>2026-05-22</t>
  </si>
  <si>
    <t>20210031</t>
  </si>
  <si>
    <t>박순만</t>
  </si>
  <si>
    <t>첨단기술 활용이 부동산산업의 재무적 성과에 미치는 영향</t>
  </si>
  <si>
    <t>심리치료학과</t>
  </si>
  <si>
    <t>20210048</t>
  </si>
  <si>
    <t>안수정</t>
  </si>
  <si>
    <t>Promoting Psychological Resilience Against Academic Burnout: A JD-R Framework Analysis of Self-Compassion as a Mental Health Resource for Diverse Student Populations</t>
  </si>
  <si>
    <t>14(11)</t>
  </si>
  <si>
    <t>20210269</t>
  </si>
  <si>
    <t>이한림</t>
  </si>
  <si>
    <t>All-Inorganic Perovskite@SiO 2 Quantum Dots for Amplifying the Interfacial Electric Field on WO3 Toward Enhanced Photoelectrochemical Water Splitting</t>
  </si>
  <si>
    <t>6(2)</t>
  </si>
  <si>
    <t>13</t>
  </si>
  <si>
    <t>인문콘텐츠학부 영어영문학전공</t>
  </si>
  <si>
    <t>20210311</t>
  </si>
  <si>
    <t>이진</t>
  </si>
  <si>
    <t>Transformers Take a Journey to the West: Epic Battles and Racism in Gene Luen Yang's American Born Chinese</t>
  </si>
  <si>
    <t>72(1)</t>
  </si>
  <si>
    <t>Colonialisms in Karen Tei Yamashita's Through the Arc of the Rain Forest</t>
  </si>
  <si>
    <t>20210391</t>
  </si>
  <si>
    <t>안테네</t>
  </si>
  <si>
    <t>Polyethylene Glycol–Mediated N‐Engineered Carbon Nanotube/Sheet Hybrid With Tunable Nitrogen Configuration for Peroxymonosulfate‐Driven Degradation of Methyl Paraben</t>
  </si>
  <si>
    <t>2026-03-22</t>
  </si>
  <si>
    <t>10(3)</t>
  </si>
  <si>
    <t>Interface-engineered S-doped ZnS/ZnO carbon nanocomposites with oxygen vacancies for enhanced 4-nitrophenol detection</t>
  </si>
  <si>
    <t>47()</t>
  </si>
  <si>
    <t>인공지능·소프트웨어융합대학</t>
  </si>
  <si>
    <t>융합소프트웨어학부 인공지능전공</t>
  </si>
  <si>
    <t>20220040</t>
  </si>
  <si>
    <t>오민식</t>
  </si>
  <si>
    <t>Ferroptosis-based therapeutic strategy targeting iron metabolism and SLC7A11 overcomes oxaliplatin resistance in patient-derived pancreatic cancer organoids</t>
  </si>
  <si>
    <t>11</t>
  </si>
  <si>
    <t>20220299</t>
  </si>
  <si>
    <t>최한별</t>
  </si>
  <si>
    <t>Impact of carsharing services on urban car accidents: An antithetic role of driving experience</t>
  </si>
  <si>
    <t>2026-02-11</t>
  </si>
  <si>
    <t>66()</t>
  </si>
  <si>
    <t>20230022</t>
  </si>
  <si>
    <t>박윤현</t>
  </si>
  <si>
    <t>놀이중심 교육과정 실행을 위한 어린이집 원장의 교사 지원 실태와 요구</t>
  </si>
  <si>
    <t>극화 코딩을 활용한 유아 그림책 속 공존 과정의 의미 탐색</t>
  </si>
  <si>
    <t>2026-05-19</t>
  </si>
  <si>
    <t>영유아교사의 평가염려 완벽주의와 임포스터 현상 간의 관계에서 부정적 평가에 대한 두려움과 역기능적 메타인지의 순차적 매개효과</t>
  </si>
  <si>
    <t>31(3)</t>
  </si>
  <si>
    <t>놀이중심교육에 기반한 유아교사 AI 역량 측정도구 개발 및 타당화</t>
  </si>
  <si>
    <t>20230023</t>
  </si>
  <si>
    <t>윤형주</t>
  </si>
  <si>
    <t>과학기술 체험활동에서 청소년이 경험한 ‘어려움의 재미(hard-fun)’의 교육적 의미: 시모어 패퍼트의 구성주의를 중심으로</t>
  </si>
  <si>
    <t>23(2)</t>
  </si>
  <si>
    <t>융합소프트웨어학부 데이터사이언스전공</t>
  </si>
  <si>
    <t>20230024</t>
  </si>
  <si>
    <t>안현진</t>
  </si>
  <si>
    <t>The mean-field limit of the relativistic Cucker--Smale model on complete Riemannian manifolds</t>
  </si>
  <si>
    <t>63(2)</t>
  </si>
  <si>
    <t>Competitive flag pursuit with mutual repulsion in a multi-agent on Riemannian Manifolds</t>
  </si>
  <si>
    <t>156()</t>
  </si>
  <si>
    <t>Robust continuum target tracking in a McKean-Vlasov-type model via sliding mode control</t>
  </si>
  <si>
    <t>363(4)</t>
  </si>
  <si>
    <t>20230025</t>
  </si>
  <si>
    <t>정의훈</t>
  </si>
  <si>
    <t>Design Methodology for a CLLLC Resonant Dual Active Bridge Converter With Minimized RMS Current and ZVS Operation for Predefined EV Charging Profile</t>
  </si>
  <si>
    <t>2026-05-29</t>
  </si>
  <si>
    <t>7-kW Bidirectional H-Bridge Flyback Converter for Onboard Chargers</t>
  </si>
  <si>
    <t>2026-03-17</t>
  </si>
  <si>
    <t>20230250</t>
  </si>
  <si>
    <t>강원묵</t>
  </si>
  <si>
    <t>順治ㆍ康熙 연간 邪敎 立法의 양상과 그 의미 ― 雍正 3年(1725) “邪敎” 明文化의 역사적 배경 ―</t>
  </si>
  <si>
    <t>(174)</t>
  </si>
  <si>
    <t>20230308</t>
  </si>
  <si>
    <t>김천수</t>
  </si>
  <si>
    <t>Voting intentions during the later stage of the COVID-19 pandemic: The roles of risk perception and performance evaluations in South Korea</t>
  </si>
  <si>
    <t>21(4)</t>
  </si>
  <si>
    <t>기록관리전공</t>
  </si>
  <si>
    <t>20230310</t>
  </si>
  <si>
    <t>윤은하</t>
  </si>
  <si>
    <t>항공사진기록의 활용과 장소성의 재발견: 일상풍경과 전쟁기억의 재구성을 중심으로,  26(1),</t>
  </si>
  <si>
    <t>공연예술학부 연극·영화전공</t>
  </si>
  <si>
    <t>20240015</t>
  </si>
  <si>
    <t>강이관</t>
  </si>
  <si>
    <t>조교수(전문교수)</t>
  </si>
  <si>
    <t>2026학년도 제3차 교수성과위원회 연구업적 심의 결과 범죄소년 상영</t>
  </si>
  <si>
    <t>이정현 배우전</t>
  </si>
  <si>
    <t>80</t>
  </si>
  <si>
    <t>20240130</t>
  </si>
  <si>
    <t>이민욱</t>
  </si>
  <si>
    <t>2인(장서희, 이현준)은 본교대학원생</t>
  </si>
  <si>
    <t>Verification of an aspect-ratio scaling law for radio-frequency capacitively coupled plasmas</t>
  </si>
  <si>
    <t>35(3)</t>
  </si>
  <si>
    <t>20240271</t>
  </si>
  <si>
    <t>김수연</t>
  </si>
  <si>
    <t>Chiral anion intercalated NiFe layered double hydroxides for boosting lattice oxygen activation and spin polarization in efficient water oxidation</t>
  </si>
  <si>
    <t>2026-01-07</t>
  </si>
  <si>
    <t>385()</t>
  </si>
  <si>
    <t>Electronic Modulation of Cobalt Single-Atom Catalysts via In-Plane and Axial Coordination Engineering for Enhanced H2O2 Electrosynthesis</t>
  </si>
  <si>
    <t>2026-05-11</t>
  </si>
  <si>
    <t>15</t>
  </si>
  <si>
    <t>Ligand-Driven Tuning of Adsorption Energy in Nanocrystals for High-Performance H2O2 Electrosynthesis</t>
  </si>
  <si>
    <t>148(9)</t>
  </si>
  <si>
    <t>20240272</t>
  </si>
  <si>
    <t>이애진</t>
  </si>
  <si>
    <t>(영양소 대사와 기능으로 배우는) 고급영양학</t>
  </si>
  <si>
    <t>Mouse Models of Diabetic Complications: Dissecting Molecular Mechanisms of Disease Progression</t>
  </si>
  <si>
    <t>20240282</t>
  </si>
  <si>
    <t>라영안</t>
  </si>
  <si>
    <t>1차 교수성과위원회 심의결과 100/8</t>
  </si>
  <si>
    <t>진로 및 직업상담</t>
  </si>
  <si>
    <t>2026-03-10</t>
  </si>
  <si>
    <t>Workplace disability discrimination and coping strategies among individuals with intellectual disabilities</t>
  </si>
  <si>
    <t>2026-07-24</t>
  </si>
  <si>
    <t>45(14)</t>
  </si>
  <si>
    <t>청소년지도학과</t>
  </si>
  <si>
    <t>20240286</t>
  </si>
  <si>
    <t>황흠</t>
  </si>
  <si>
    <t>국내 대학생의 성장마인드셋과 학업․진로 관련 변인에 대한 메타분석 연구</t>
  </si>
  <si>
    <t>교육학과 상담교육</t>
  </si>
  <si>
    <t>20240400</t>
  </si>
  <si>
    <t>함승수</t>
  </si>
  <si>
    <t>Economic Experimentation under Authoritarian Closure: Urban and Social Transformation in North Korea’s Rason SEZ</t>
  </si>
  <si>
    <t>기독 대안학교의 지속가능성 확보를 위한 재정지원 방안 연구</t>
  </si>
  <si>
    <t>2026-07-03</t>
  </si>
  <si>
    <t>(86)</t>
  </si>
  <si>
    <t>기독교 세계관에 근거한 플립러닝 교수법에 관한 연구</t>
  </si>
  <si>
    <t>5(2)</t>
  </si>
  <si>
    <t>기독 청소년의 세계관 충돌 현상에 대한 한국교회의 기독교교육적 성찰</t>
  </si>
  <si>
    <t>20250012</t>
  </si>
  <si>
    <t>김민건</t>
  </si>
  <si>
    <t>A chemometrically validated, field-portable wet-chemical protocol for rapid triage of 15 white powder substances</t>
  </si>
  <si>
    <t>151(17)</t>
  </si>
  <si>
    <t>Efficient iridium N-heterocyclic carbene catalysts for signal amplification  by reversible exchange in dimethyl sulfoxide</t>
  </si>
  <si>
    <t>2026-08-08</t>
  </si>
  <si>
    <t>391()</t>
  </si>
  <si>
    <t>Solar-Driven TiO2 Photocatalytic Degradation of Live Chemical Warfare Agents: Performance Evaluation and Mechanistic Analysis</t>
  </si>
  <si>
    <t>2026-06-24</t>
  </si>
  <si>
    <t>31(13)</t>
  </si>
  <si>
    <t>20250013</t>
  </si>
  <si>
    <t>임호준</t>
  </si>
  <si>
    <t>기존 판본에는 참여한 적이 없고, 이번 판본에만 참여하였음. 공동 저자 수는 총 81명임./1차 교수성과위원회 심의결과 100/10</t>
  </si>
  <si>
    <t>Observation of mirror-odd and mirror-even spin texture in ultrathin epitaxially strained RuO2 films</t>
  </si>
  <si>
    <t>2026-07-29</t>
  </si>
  <si>
    <t>12(31)</t>
  </si>
  <si>
    <t>27</t>
  </si>
  <si>
    <t>24</t>
  </si>
  <si>
    <t>In situ characterizations of oxidized Pd-In alloy surface structures</t>
  </si>
  <si>
    <t>88()</t>
  </si>
  <si>
    <t>Deciphering oxygen-induced surface segregation of Pt3V alloy using ambient pressure XPS</t>
  </si>
  <si>
    <t>749()</t>
  </si>
  <si>
    <t>14</t>
  </si>
  <si>
    <t>20250015</t>
  </si>
  <si>
    <t>김명선</t>
  </si>
  <si>
    <t>상사 인지 리더-구성원 교환관계(LMX)가 상사의 지식공유를 매개로 부하직원의 심리적 안전감에 미치는 영향: 차상위 상사의 밀착 감시 행동의 조절효과를 중심으로</t>
  </si>
  <si>
    <t>20250017</t>
  </si>
  <si>
    <t>김효정</t>
  </si>
  <si>
    <t>기후위기 시대 토착성의 재구성: 씨앗을 둘러싼 트랜스로컬 젠더정치</t>
  </si>
  <si>
    <t>2026-07-30</t>
  </si>
  <si>
    <t>(215)</t>
  </si>
  <si>
    <t>20250022</t>
  </si>
  <si>
    <t>명일호</t>
  </si>
  <si>
    <t>Room-temperature selective NO2 sensing using porous TiO2 nanorods via a humidity-mediated conduction</t>
  </si>
  <si>
    <t>14(22)</t>
  </si>
  <si>
    <t>Impact of MOSFET Source/Drain Resistance on Channel Thermal Noise Calculation  and Noise Performance</t>
  </si>
  <si>
    <t>20250075</t>
  </si>
  <si>
    <t>김현경</t>
  </si>
  <si>
    <t>전문학술번역서(단독, 혹은 소수 공저)</t>
  </si>
  <si>
    <t>일본의 고대국가</t>
  </si>
  <si>
    <t>전문학술번역서(book chapter 논문모음)</t>
  </si>
  <si>
    <t>아시아를 상상하다 II: 주변(을)에서 바라보기</t>
  </si>
  <si>
    <t>다이라노 마사카도의 난과 그 역사적 의의: 무사의 등장과 군사귀족 개념에 대한 검토</t>
  </si>
  <si>
    <t>(69)</t>
  </si>
  <si>
    <t>다이라노 마사카도의 '신황' 즉위 명분과 사상적 한계</t>
  </si>
  <si>
    <t>(53)</t>
  </si>
  <si>
    <t>20250306</t>
  </si>
  <si>
    <t>이수란</t>
  </si>
  <si>
    <t>학교친구관계와 미디어기기 중독이 자아존중감에 미치는 영향: 가족의사소통의 조절된 매개효과</t>
  </si>
  <si>
    <t>33(7)</t>
  </si>
  <si>
    <t>부사관의 괜찮은 일 인식이 이직의도에 미치는 영향: 계급별 차이를 중심으로</t>
  </si>
  <si>
    <t>신속시범사업 실증-전력화 연계 강화를 위한 정책·제도 개선방안 연구: 민·관·군 전문가 인터뷰를 중심으로</t>
  </si>
  <si>
    <t>경상·통계학부 응용통계학전공</t>
  </si>
  <si>
    <t>20250308</t>
  </si>
  <si>
    <t>박진수</t>
  </si>
  <si>
    <t>Nonparametric Bayesian meta-analysis model with change point detection: a case study on time-varying temperature–mortality associations</t>
  </si>
  <si>
    <t>2026-04-02</t>
  </si>
  <si>
    <t>45(8-9)</t>
  </si>
  <si>
    <t>20250373</t>
  </si>
  <si>
    <t>이경혁</t>
  </si>
  <si>
    <t>부교수(전문교수)</t>
  </si>
  <si>
    <t>반도체용 초순수 생산 플랜트의 에너지 사용량 분석</t>
  </si>
  <si>
    <t>40(4)</t>
  </si>
  <si>
    <t>화공신소재공학부 화학공학전공</t>
  </si>
  <si>
    <t>20260016</t>
  </si>
  <si>
    <t>정우혁</t>
  </si>
  <si>
    <t>Dielectric oligonucleotide fragments enable ultralow threshold photomultiplication in infrared quantum dot photodetectors</t>
  </si>
  <si>
    <t>541()</t>
  </si>
  <si>
    <t>20260019</t>
  </si>
  <si>
    <t>윤영국</t>
  </si>
  <si>
    <t>Deep Learning-Based Identification of Cavitation Instabilities in Turbopump Inducers Using Raw Visualization Data</t>
  </si>
  <si>
    <t>148(7)</t>
  </si>
  <si>
    <t>20260020</t>
  </si>
  <si>
    <t>김태연</t>
  </si>
  <si>
    <t>Possible Controller Placement of Mega-Constellated LEO Satellite Network: Cornerstone Toward Satellite Network for AI</t>
  </si>
  <si>
    <t>20260022</t>
  </si>
  <si>
    <t>민정욱</t>
  </si>
  <si>
    <t>기존 판본에는 참여한 적이 없고 이번 판본에만 참여하였음./1차 교수성과위원회 심의결과 100/10</t>
  </si>
  <si>
    <t>Consistent evidence for intra- and inter-columnar transport decoupling in sputter-grown ZnSnN2 thin films through growth-driven microstructural evolution</t>
  </si>
  <si>
    <t>14(31)</t>
  </si>
  <si>
    <t>Self-Powered ZnSnN2/GaN Photodiodes via Fine Stoichiometry Control and Photon Trapping Micropatterned Heterojunctions Under Low-Light Irradiation</t>
  </si>
  <si>
    <t>7(8)</t>
  </si>
  <si>
    <t>열처리된 GaN 나노와이어의 광투과 특성 향상을 통한 CsPbBr3의 발광 특성 향상</t>
  </si>
  <si>
    <t>39(3)</t>
  </si>
  <si>
    <t>20260024</t>
  </si>
  <si>
    <t>이언정</t>
  </si>
  <si>
    <t>불멸의 캐릭터는 어떻게 탄생하는가: 영화 안나 카레니나(Anna Karenina)의 시대별 재현과 변주</t>
  </si>
  <si>
    <t>2026-03-23</t>
  </si>
  <si>
    <t>(107)</t>
  </si>
  <si>
    <t>한국경제신문 아르떼 [이언정의 시네마테라피] _ 영화 &lt;그란 투리스모&gt; 비평</t>
  </si>
  <si>
    <t>한국경제신문 아르떼 [이언정의 시네마테라피]_영화 &lt;먼 훗날 우리&gt; 비평</t>
  </si>
  <si>
    <t>한국경제신문 아르떼 [이언정의 시네마테라피]_영화 &lt;퍼펙트 데이즈&gt; 비평</t>
  </si>
  <si>
    <t>문예창작학과</t>
  </si>
  <si>
    <t>20030249</t>
  </si>
  <si>
    <t>박상수</t>
  </si>
  <si>
    <t>문학작품단행본</t>
  </si>
  <si>
    <t>시집 『메신저 백』(문학동네, 2026) 출간</t>
  </si>
  <si>
    <t>2026-03-25</t>
  </si>
  <si>
    <t>등급이 필수가 아닌 항목 포함</t>
    <phoneticPr fontId="3" type="noConversion"/>
  </si>
  <si>
    <t>전문교양서적(신간)</t>
  </si>
  <si>
    <t>고질라가 오는 밤에 - '사고를 재촉하는 괴수'의 현대사</t>
  </si>
  <si>
    <t>분류</t>
    <phoneticPr fontId="3" type="noConversion"/>
  </si>
  <si>
    <t>3월</t>
    <phoneticPr fontId="3" type="noConversion"/>
  </si>
  <si>
    <t>4월</t>
    <phoneticPr fontId="3" type="noConversion"/>
  </si>
  <si>
    <t>5월</t>
    <phoneticPr fontId="3" type="noConversion"/>
  </si>
  <si>
    <t>6월</t>
    <phoneticPr fontId="3" type="noConversion"/>
  </si>
  <si>
    <t>7월</t>
    <phoneticPr fontId="3" type="noConversion"/>
  </si>
  <si>
    <t>8월</t>
    <phoneticPr fontId="3" type="noConversion"/>
  </si>
  <si>
    <t>국가R&amp;D</t>
  </si>
  <si>
    <r>
      <t>용역</t>
    </r>
    <r>
      <rPr>
        <sz val="11"/>
        <color theme="1"/>
        <rFont val="맑은 고딕"/>
        <family val="3"/>
        <charset val="129"/>
      </rPr>
      <t>°</t>
    </r>
    <r>
      <rPr>
        <sz val="11"/>
        <color theme="1"/>
        <rFont val="맑은 고딕"/>
        <family val="2"/>
        <charset val="129"/>
        <scheme val="minor"/>
      </rPr>
      <t>사기업</t>
    </r>
  </si>
  <si>
    <t>제안 수</t>
    <phoneticPr fontId="3" type="noConversion"/>
  </si>
  <si>
    <t>선정 수</t>
    <phoneticPr fontId="3" type="noConversion"/>
  </si>
  <si>
    <t>금액(억원)</t>
    <phoneticPr fontId="3" type="noConversion"/>
  </si>
  <si>
    <t>구분</t>
  </si>
  <si>
    <r>
      <rPr>
        <b/>
        <sz val="10"/>
        <rFont val="맑은 고딕"/>
        <family val="3"/>
        <charset val="129"/>
      </rPr>
      <t>3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</si>
  <si>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4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</si>
  <si>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5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</si>
  <si>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6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</si>
  <si>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7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</si>
  <si>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8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</si>
  <si>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9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</si>
  <si>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10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</si>
  <si>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11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</si>
  <si>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12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</si>
  <si>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1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</si>
  <si>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2</t>
    </r>
    <r>
      <rPr>
        <b/>
        <sz val="10"/>
        <rFont val="Noto Sans CJK SC"/>
        <family val="2"/>
      </rPr>
      <t>월</t>
    </r>
  </si>
  <si>
    <t>소계</t>
  </si>
  <si>
    <t>공연·발표·대국</t>
  </si>
  <si>
    <t>설계·디자인·전시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</si>
</sst>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 "/>
    <numFmt numFmtId="181" formatCode="#,##0;#,##0;\-"/>
  </numFmts>
  <fonts count="20">
    <font>
      <sz val="11"/>
      <color indexed="8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rgb="FF000000"/>
      <name val="굴림체"/>
      <family val="3"/>
      <charset val="129"/>
    </font>
    <font>
      <sz val="8"/>
      <name val="맑은 고딕"/>
      <family val="3"/>
      <charset val="129"/>
      <scheme val="minor"/>
    </font>
    <font>
      <sz val="10"/>
      <color rgb="FF000000"/>
      <name val="굴림체"/>
      <family val="3"/>
      <charset val="129"/>
    </font>
    <font>
      <sz val="11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rgb="FF0000FF"/>
      <name val="맑은 고딕"/>
      <family val="2"/>
      <charset val="129"/>
      <scheme val="minor"/>
    </font>
    <font>
      <b/>
      <sz val="11"/>
      <color rgb="FF0000FF"/>
      <name val="맑은 고딕"/>
      <family val="3"/>
      <charset val="129"/>
      <scheme val="minor"/>
    </font>
    <font>
      <b/>
      <sz val="11"/>
      <color theme="1" tint="0.1499984740745262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1"/>
      <color theme="1"/>
      <name val="Calibri"/>
      <family val="2"/>
      <charset val="1"/>
    </font>
    <font>
      <b/>
      <sz val="10"/>
      <name val="Noto Sans CJK SC"/>
      <family val="2"/>
      <charset val="1"/>
    </font>
    <font>
      <b/>
      <sz val="10"/>
      <name val="맑은 고딕"/>
      <family val="3"/>
      <charset val="129"/>
    </font>
    <font>
      <b/>
      <sz val="10"/>
      <name val="Noto Sans CJK SC"/>
      <family val="2"/>
    </font>
    <font>
      <b/>
      <sz val="16"/>
      <color rgb="FFFFFFFF"/>
      <name val="맑은 고딕"/>
      <family val="3"/>
      <charset val="129"/>
    </font>
    <font>
      <sz val="10"/>
      <name val="Noto Sans CJK SC"/>
      <family val="2"/>
      <charset val="1"/>
    </font>
    <font>
      <sz val="10"/>
      <name val="맑은 고딕"/>
      <family val="3"/>
      <charset val="129"/>
    </font>
    <font>
      <i/>
      <sz val="9"/>
      <name val="맑은 고딕"/>
      <family val="3"/>
      <charset val="129"/>
    </font>
    <font>
      <sz val="10"/>
      <color theme="1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rgb="FFEDF2F9"/>
      </patternFill>
    </fill>
    <fill>
      <patternFill patternType="solid">
        <fgColor rgb="FFFFF2CC"/>
        <bgColor rgb="FFF2F2F2"/>
      </patternFill>
    </fill>
  </fills>
  <borders count="15">
    <border>
      <left/>
      <right/>
      <top/>
      <bottom/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 style="thin">
        <color rgb="FFB4B4B4"/>
      </left>
      <right style="thin">
        <color rgb="FFB4B4B4"/>
      </right>
      <top style="medium">
        <color rgb="FFB4B4B4"/>
      </top>
      <bottom style="thin">
        <color rgb="FFB4B4B4"/>
      </bottom>
      <diagonal/>
    </border>
    <border>
      <left style="thin">
        <color rgb="FFB4B4B4"/>
      </left>
      <right style="medium">
        <color rgb="FFB4B4B4"/>
      </right>
      <top style="medium">
        <color rgb="FFB4B4B4"/>
      </top>
      <bottom style="thin">
        <color rgb="FFB4B4B4"/>
      </bottom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  <border>
      <left style="thin">
        <color rgb="FFB4B4B4"/>
      </left>
      <right style="medium">
        <color rgb="FFB4B4B4"/>
      </right>
      <top style="thin">
        <color rgb="FFB4B4B4"/>
      </top>
      <bottom style="thin">
        <color rgb="FFB4B4B4"/>
      </bottom>
      <diagonal/>
    </border>
  </borders>
  <cellStyleXfs count="3">
    <xf numFmtId="0" fontId="0" fillId="0" borderId="0">
      <alignment vertical="center"/>
    </xf>
    <xf numFmtId="0" fontId="1" fillId="0" borderId="0">
      <alignment vertical="center"/>
    </xf>
    <xf numFmtId="0" fontId="11" fillId="0" borderId="0"/>
  </cellStyleXfs>
  <cellXfs count="50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right" vertical="center" wrapText="1"/>
    </xf>
    <xf numFmtId="176" fontId="4" fillId="2" borderId="1" xfId="0" applyNumberFormat="1" applyFont="1" applyFill="1" applyBorder="1" applyAlignment="1">
      <alignment horizontal="righ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left" vertical="center" wrapText="1"/>
    </xf>
    <xf numFmtId="0" fontId="1" fillId="0" borderId="4" xfId="1" applyBorder="1">
      <alignment vertical="center"/>
    </xf>
    <xf numFmtId="0" fontId="1" fillId="0" borderId="6" xfId="1" applyBorder="1">
      <alignment vertical="center"/>
    </xf>
    <xf numFmtId="0" fontId="8" fillId="0" borderId="5" xfId="1" applyFont="1" applyBorder="1" applyAlignment="1">
      <alignment horizontal="center" vertical="center"/>
    </xf>
    <xf numFmtId="0" fontId="9" fillId="0" borderId="6" xfId="1" applyFont="1" applyBorder="1" applyAlignment="1">
      <alignment horizontal="center" vertical="center"/>
    </xf>
    <xf numFmtId="0" fontId="7" fillId="0" borderId="5" xfId="1" applyFont="1" applyBorder="1">
      <alignment vertical="center"/>
    </xf>
    <xf numFmtId="0" fontId="7" fillId="0" borderId="3" xfId="1" applyFont="1" applyBorder="1">
      <alignment vertical="center"/>
    </xf>
    <xf numFmtId="0" fontId="8" fillId="0" borderId="7" xfId="1" applyFont="1" applyBorder="1" applyAlignment="1">
      <alignment horizontal="right" vertical="center"/>
    </xf>
    <xf numFmtId="0" fontId="9" fillId="0" borderId="8" xfId="1" applyFont="1" applyBorder="1" applyAlignment="1">
      <alignment horizontal="right" vertical="center"/>
    </xf>
    <xf numFmtId="0" fontId="8" fillId="0" borderId="9" xfId="1" applyFont="1" applyBorder="1" applyAlignment="1">
      <alignment horizontal="right" vertical="center"/>
    </xf>
    <xf numFmtId="0" fontId="6" fillId="0" borderId="10" xfId="1" applyFont="1" applyBorder="1" applyAlignment="1">
      <alignment horizontal="right" vertical="center"/>
    </xf>
    <xf numFmtId="0" fontId="8" fillId="0" borderId="3" xfId="1" applyFont="1" applyBorder="1" applyAlignment="1">
      <alignment horizontal="center" vertical="center"/>
    </xf>
    <xf numFmtId="0" fontId="6" fillId="0" borderId="4" xfId="1" applyFont="1" applyBorder="1" applyAlignment="1">
      <alignment horizontal="center" vertical="center"/>
    </xf>
    <xf numFmtId="0" fontId="8" fillId="4" borderId="5" xfId="1" applyFont="1" applyFill="1" applyBorder="1" applyAlignment="1">
      <alignment horizontal="center" vertical="center"/>
    </xf>
    <xf numFmtId="0" fontId="6" fillId="4" borderId="6" xfId="1" applyFont="1" applyFill="1" applyBorder="1" applyAlignment="1">
      <alignment horizontal="center" vertical="center"/>
    </xf>
    <xf numFmtId="0" fontId="7" fillId="4" borderId="5" xfId="1" applyFont="1" applyFill="1" applyBorder="1">
      <alignment vertical="center"/>
    </xf>
    <xf numFmtId="0" fontId="8" fillId="4" borderId="7" xfId="1" applyFont="1" applyFill="1" applyBorder="1" applyAlignment="1">
      <alignment horizontal="right" vertical="center"/>
    </xf>
    <xf numFmtId="0" fontId="1" fillId="4" borderId="6" xfId="1" applyFill="1" applyBorder="1">
      <alignment vertical="center"/>
    </xf>
    <xf numFmtId="0" fontId="6" fillId="4" borderId="8" xfId="1" applyFont="1" applyFill="1" applyBorder="1" applyAlignment="1">
      <alignment horizontal="right" vertical="center"/>
    </xf>
    <xf numFmtId="0" fontId="7" fillId="5" borderId="3" xfId="1" applyFont="1" applyFill="1" applyBorder="1">
      <alignment vertical="center"/>
    </xf>
    <xf numFmtId="0" fontId="8" fillId="5" borderId="3" xfId="1" applyFont="1" applyFill="1" applyBorder="1" applyAlignment="1">
      <alignment horizontal="center" vertical="center"/>
    </xf>
    <xf numFmtId="0" fontId="8" fillId="5" borderId="9" xfId="1" applyFont="1" applyFill="1" applyBorder="1" applyAlignment="1">
      <alignment horizontal="right" vertical="center"/>
    </xf>
    <xf numFmtId="0" fontId="1" fillId="5" borderId="4" xfId="1" applyFill="1" applyBorder="1">
      <alignment vertical="center"/>
    </xf>
    <xf numFmtId="0" fontId="7" fillId="0" borderId="3" xfId="1" applyFont="1" applyFill="1" applyBorder="1">
      <alignment vertical="center"/>
    </xf>
    <xf numFmtId="0" fontId="8" fillId="0" borderId="3" xfId="1" applyFont="1" applyFill="1" applyBorder="1" applyAlignment="1">
      <alignment horizontal="center" vertical="center"/>
    </xf>
    <xf numFmtId="0" fontId="8" fillId="0" borderId="9" xfId="1" applyFont="1" applyFill="1" applyBorder="1" applyAlignment="1">
      <alignment horizontal="right" vertical="center"/>
    </xf>
    <xf numFmtId="0" fontId="1" fillId="0" borderId="4" xfId="1" applyFill="1" applyBorder="1">
      <alignment vertical="center"/>
    </xf>
    <xf numFmtId="0" fontId="6" fillId="0" borderId="4" xfId="1" applyFont="1" applyFill="1" applyBorder="1" applyAlignment="1">
      <alignment horizontal="center" vertical="center"/>
    </xf>
    <xf numFmtId="0" fontId="6" fillId="0" borderId="10" xfId="1" applyFont="1" applyFill="1" applyBorder="1" applyAlignment="1">
      <alignment horizontal="right" vertical="center"/>
    </xf>
    <xf numFmtId="0" fontId="10" fillId="5" borderId="4" xfId="1" applyFont="1" applyFill="1" applyBorder="1" applyAlignment="1">
      <alignment horizontal="center" vertical="center"/>
    </xf>
    <xf numFmtId="0" fontId="10" fillId="5" borderId="10" xfId="1" applyFont="1" applyFill="1" applyBorder="1" applyAlignment="1">
      <alignment horizontal="right" vertical="center"/>
    </xf>
    <xf numFmtId="0" fontId="12" fillId="6" borderId="11" xfId="2" applyFont="1" applyFill="1" applyBorder="1" applyAlignment="1">
      <alignment horizontal="center" vertical="center" wrapText="1"/>
    </xf>
    <xf numFmtId="0" fontId="13" fillId="6" borderId="11" xfId="2" applyFont="1" applyFill="1" applyBorder="1" applyAlignment="1">
      <alignment horizontal="center" vertical="center" wrapText="1"/>
    </xf>
    <xf numFmtId="0" fontId="12" fillId="6" borderId="12" xfId="2" applyFont="1" applyFill="1" applyBorder="1" applyAlignment="1">
      <alignment horizontal="center" vertical="center" wrapText="1"/>
    </xf>
    <xf numFmtId="0" fontId="15" fillId="0" borderId="0" xfId="2" applyFont="1" applyAlignment="1">
      <alignment vertical="center" wrapText="1"/>
    </xf>
    <xf numFmtId="0" fontId="5" fillId="0" borderId="0" xfId="2" applyFont="1"/>
    <xf numFmtId="0" fontId="16" fillId="0" borderId="13" xfId="2" applyFont="1" applyBorder="1" applyAlignment="1">
      <alignment horizontal="left" vertical="center" wrapText="1"/>
    </xf>
    <xf numFmtId="181" fontId="17" fillId="0" borderId="13" xfId="2" applyNumberFormat="1" applyFont="1" applyBorder="1" applyAlignment="1">
      <alignment horizontal="center" vertical="center" wrapText="1"/>
    </xf>
    <xf numFmtId="181" fontId="13" fillId="7" borderId="14" xfId="2" applyNumberFormat="1" applyFont="1" applyFill="1" applyBorder="1" applyAlignment="1">
      <alignment horizontal="center" vertical="center" wrapText="1"/>
    </xf>
    <xf numFmtId="0" fontId="18" fillId="0" borderId="0" xfId="2" applyFont="1" applyAlignment="1">
      <alignment vertical="center" wrapText="1"/>
    </xf>
    <xf numFmtId="0" fontId="11" fillId="0" borderId="0" xfId="2"/>
    <xf numFmtId="181" fontId="19" fillId="4" borderId="13" xfId="2" applyNumberFormat="1" applyFont="1" applyFill="1" applyBorder="1" applyAlignment="1">
      <alignment horizontal="center" vertical="center" wrapText="1"/>
    </xf>
    <xf numFmtId="181" fontId="17" fillId="4" borderId="13" xfId="2" applyNumberFormat="1" applyFont="1" applyFill="1" applyBorder="1" applyAlignment="1">
      <alignment horizontal="center" vertical="center" wrapText="1"/>
    </xf>
  </cellXfs>
  <cellStyles count="3">
    <cellStyle name="표준" xfId="0" builtinId="0"/>
    <cellStyle name="표준 2" xfId="1" xr:uid="{AC0109F7-6861-4FF6-9B6A-E9C7781BF44E}"/>
    <cellStyle name="표준 3" xfId="2" xr:uid="{AC96740F-B100-47A8-9F55-39238C291EC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AA86C-8A23-43AE-9575-239B5BAA1E0F}">
  <dimension ref="A1:AC241"/>
  <sheetViews>
    <sheetView workbookViewId="0">
      <selection activeCell="J15" sqref="J15"/>
    </sheetView>
  </sheetViews>
  <sheetFormatPr defaultRowHeight="16.5"/>
  <sheetData>
    <row r="1" spans="1:28" ht="28.3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28.35" customHeight="1">
      <c r="A2" s="2" t="s">
        <v>28</v>
      </c>
      <c r="B2" s="2" t="s">
        <v>29</v>
      </c>
      <c r="C2" s="3" t="s">
        <v>30</v>
      </c>
      <c r="D2" s="3" t="s">
        <v>31</v>
      </c>
      <c r="E2" s="2" t="s">
        <v>32</v>
      </c>
      <c r="F2" s="2" t="s">
        <v>33</v>
      </c>
      <c r="G2" s="2" t="s">
        <v>34</v>
      </c>
      <c r="H2" s="2" t="s">
        <v>35</v>
      </c>
      <c r="I2" s="3" t="s">
        <v>36</v>
      </c>
      <c r="J2" s="3" t="s">
        <v>37</v>
      </c>
      <c r="K2" s="2" t="s">
        <v>38</v>
      </c>
      <c r="L2" s="2"/>
      <c r="M2" s="2" t="s">
        <v>39</v>
      </c>
      <c r="N2" s="3" t="s">
        <v>40</v>
      </c>
      <c r="O2" s="2" t="s">
        <v>41</v>
      </c>
      <c r="P2" s="2">
        <v>2026</v>
      </c>
      <c r="Q2" s="2">
        <v>3</v>
      </c>
      <c r="R2" s="2" t="s">
        <v>42</v>
      </c>
      <c r="S2" s="2" t="s">
        <v>43</v>
      </c>
      <c r="T2" s="4" t="s">
        <v>44</v>
      </c>
      <c r="U2" s="4" t="s">
        <v>45</v>
      </c>
      <c r="V2" s="4" t="s">
        <v>46</v>
      </c>
      <c r="W2" s="4" t="s">
        <v>47</v>
      </c>
      <c r="X2" s="4" t="s">
        <v>48</v>
      </c>
      <c r="Y2" s="4" t="s">
        <v>49</v>
      </c>
      <c r="Z2" s="4" t="s">
        <v>50</v>
      </c>
      <c r="AA2" s="4" t="s">
        <v>46</v>
      </c>
      <c r="AB2" s="5">
        <v>210</v>
      </c>
    </row>
    <row r="3" spans="1:28" ht="28.35" customHeight="1">
      <c r="A3" s="2" t="s">
        <v>28</v>
      </c>
      <c r="B3" s="2" t="s">
        <v>29</v>
      </c>
      <c r="C3" s="3" t="s">
        <v>51</v>
      </c>
      <c r="D3" s="3" t="s">
        <v>52</v>
      </c>
      <c r="E3" s="2" t="s">
        <v>53</v>
      </c>
      <c r="F3" s="2" t="s">
        <v>54</v>
      </c>
      <c r="G3" s="2" t="s">
        <v>34</v>
      </c>
      <c r="H3" s="2" t="s">
        <v>35</v>
      </c>
      <c r="I3" s="3" t="s">
        <v>36</v>
      </c>
      <c r="J3" s="3" t="s">
        <v>37</v>
      </c>
      <c r="K3" s="2" t="s">
        <v>38</v>
      </c>
      <c r="L3" s="2" t="s">
        <v>55</v>
      </c>
      <c r="M3" s="2" t="s">
        <v>39</v>
      </c>
      <c r="N3" s="3" t="s">
        <v>56</v>
      </c>
      <c r="O3" s="2" t="s">
        <v>57</v>
      </c>
      <c r="P3" s="2">
        <v>2026</v>
      </c>
      <c r="Q3" s="2">
        <v>4</v>
      </c>
      <c r="R3" s="2" t="s">
        <v>58</v>
      </c>
      <c r="S3" s="2" t="s">
        <v>59</v>
      </c>
      <c r="T3" s="4" t="s">
        <v>44</v>
      </c>
      <c r="U3" s="4" t="s">
        <v>60</v>
      </c>
      <c r="V3" s="4" t="s">
        <v>46</v>
      </c>
      <c r="W3" s="4" t="s">
        <v>47</v>
      </c>
      <c r="X3" s="4" t="s">
        <v>49</v>
      </c>
      <c r="Y3" s="4" t="s">
        <v>49</v>
      </c>
      <c r="Z3" s="4" t="s">
        <v>50</v>
      </c>
      <c r="AA3" s="4" t="s">
        <v>46</v>
      </c>
      <c r="AB3" s="5">
        <v>210</v>
      </c>
    </row>
    <row r="4" spans="1:28" ht="28.35" customHeight="1">
      <c r="A4" s="2" t="s">
        <v>28</v>
      </c>
      <c r="B4" s="2" t="s">
        <v>29</v>
      </c>
      <c r="C4" s="3" t="s">
        <v>51</v>
      </c>
      <c r="D4" s="3" t="s">
        <v>52</v>
      </c>
      <c r="E4" s="2" t="s">
        <v>53</v>
      </c>
      <c r="F4" s="2" t="s">
        <v>54</v>
      </c>
      <c r="G4" s="2" t="s">
        <v>34</v>
      </c>
      <c r="H4" s="2" t="s">
        <v>35</v>
      </c>
      <c r="I4" s="3" t="s">
        <v>36</v>
      </c>
      <c r="J4" s="3" t="s">
        <v>37</v>
      </c>
      <c r="K4" s="2" t="s">
        <v>38</v>
      </c>
      <c r="L4" s="2"/>
      <c r="M4" s="2" t="s">
        <v>39</v>
      </c>
      <c r="N4" s="3" t="s">
        <v>61</v>
      </c>
      <c r="O4" s="2" t="s">
        <v>62</v>
      </c>
      <c r="P4" s="2">
        <v>2026</v>
      </c>
      <c r="Q4" s="2">
        <v>3</v>
      </c>
      <c r="R4" s="2" t="s">
        <v>63</v>
      </c>
      <c r="S4" s="2" t="s">
        <v>64</v>
      </c>
      <c r="T4" s="4" t="s">
        <v>44</v>
      </c>
      <c r="U4" s="4" t="s">
        <v>47</v>
      </c>
      <c r="V4" s="4" t="s">
        <v>47</v>
      </c>
      <c r="W4" s="4" t="s">
        <v>49</v>
      </c>
      <c r="X4" s="4" t="s">
        <v>49</v>
      </c>
      <c r="Y4" s="4" t="s">
        <v>49</v>
      </c>
      <c r="Z4" s="4" t="s">
        <v>50</v>
      </c>
      <c r="AA4" s="4" t="s">
        <v>46</v>
      </c>
      <c r="AB4" s="5">
        <v>210</v>
      </c>
    </row>
    <row r="5" spans="1:28" ht="28.35" customHeight="1">
      <c r="A5" s="2" t="s">
        <v>28</v>
      </c>
      <c r="B5" s="2" t="s">
        <v>29</v>
      </c>
      <c r="C5" s="3" t="s">
        <v>51</v>
      </c>
      <c r="D5" s="3" t="s">
        <v>52</v>
      </c>
      <c r="E5" s="2" t="s">
        <v>53</v>
      </c>
      <c r="F5" s="2" t="s">
        <v>54</v>
      </c>
      <c r="G5" s="2" t="s">
        <v>34</v>
      </c>
      <c r="H5" s="2" t="s">
        <v>35</v>
      </c>
      <c r="I5" s="3" t="s">
        <v>36</v>
      </c>
      <c r="J5" s="3" t="s">
        <v>37</v>
      </c>
      <c r="K5" s="2" t="s">
        <v>38</v>
      </c>
      <c r="L5" s="2"/>
      <c r="M5" s="2" t="s">
        <v>39</v>
      </c>
      <c r="N5" s="3" t="s">
        <v>65</v>
      </c>
      <c r="O5" s="2" t="s">
        <v>66</v>
      </c>
      <c r="P5" s="2">
        <v>2026</v>
      </c>
      <c r="Q5" s="2">
        <v>3</v>
      </c>
      <c r="R5" s="2" t="s">
        <v>63</v>
      </c>
      <c r="S5" s="2" t="s">
        <v>67</v>
      </c>
      <c r="T5" s="4" t="s">
        <v>44</v>
      </c>
      <c r="U5" s="4" t="s">
        <v>47</v>
      </c>
      <c r="V5" s="4" t="s">
        <v>46</v>
      </c>
      <c r="W5" s="4" t="s">
        <v>46</v>
      </c>
      <c r="X5" s="4" t="s">
        <v>49</v>
      </c>
      <c r="Y5" s="4" t="s">
        <v>49</v>
      </c>
      <c r="Z5" s="4" t="s">
        <v>50</v>
      </c>
      <c r="AA5" s="4" t="s">
        <v>46</v>
      </c>
      <c r="AB5" s="5">
        <v>210</v>
      </c>
    </row>
    <row r="6" spans="1:28" ht="28.35" customHeight="1">
      <c r="A6" s="2" t="s">
        <v>28</v>
      </c>
      <c r="B6" s="2" t="s">
        <v>29</v>
      </c>
      <c r="C6" s="3" t="s">
        <v>68</v>
      </c>
      <c r="D6" s="3" t="s">
        <v>69</v>
      </c>
      <c r="E6" s="2" t="s">
        <v>70</v>
      </c>
      <c r="F6" s="2" t="s">
        <v>71</v>
      </c>
      <c r="G6" s="2" t="s">
        <v>34</v>
      </c>
      <c r="H6" s="2" t="s">
        <v>35</v>
      </c>
      <c r="I6" s="3" t="s">
        <v>36</v>
      </c>
      <c r="J6" s="3" t="s">
        <v>37</v>
      </c>
      <c r="K6" s="2" t="s">
        <v>72</v>
      </c>
      <c r="L6" s="2"/>
      <c r="M6" s="2" t="s">
        <v>39</v>
      </c>
      <c r="N6" s="3" t="s">
        <v>73</v>
      </c>
      <c r="O6" s="2" t="s">
        <v>74</v>
      </c>
      <c r="P6" s="2">
        <v>2026</v>
      </c>
      <c r="Q6" s="2">
        <v>6</v>
      </c>
      <c r="R6" s="2" t="s">
        <v>75</v>
      </c>
      <c r="S6" s="2" t="s">
        <v>76</v>
      </c>
      <c r="T6" s="4" t="s">
        <v>44</v>
      </c>
      <c r="U6" s="4" t="s">
        <v>77</v>
      </c>
      <c r="V6" s="4" t="s">
        <v>46</v>
      </c>
      <c r="W6" s="4" t="s">
        <v>60</v>
      </c>
      <c r="X6" s="4" t="s">
        <v>46</v>
      </c>
      <c r="Y6" s="4" t="s">
        <v>49</v>
      </c>
      <c r="Z6" s="4" t="s">
        <v>78</v>
      </c>
      <c r="AA6" s="4" t="s">
        <v>46</v>
      </c>
      <c r="AB6" s="5">
        <v>75</v>
      </c>
    </row>
    <row r="7" spans="1:28" ht="28.35" customHeight="1">
      <c r="A7" s="2" t="s">
        <v>28</v>
      </c>
      <c r="B7" s="2" t="s">
        <v>29</v>
      </c>
      <c r="C7" s="3" t="s">
        <v>68</v>
      </c>
      <c r="D7" s="3" t="s">
        <v>79</v>
      </c>
      <c r="E7" s="2" t="s">
        <v>80</v>
      </c>
      <c r="F7" s="2" t="s">
        <v>81</v>
      </c>
      <c r="G7" s="2" t="s">
        <v>34</v>
      </c>
      <c r="H7" s="2" t="s">
        <v>35</v>
      </c>
      <c r="I7" s="3" t="s">
        <v>36</v>
      </c>
      <c r="J7" s="3" t="s">
        <v>82</v>
      </c>
      <c r="K7" s="2" t="s">
        <v>38</v>
      </c>
      <c r="L7" s="2"/>
      <c r="M7" s="2" t="s">
        <v>39</v>
      </c>
      <c r="N7" s="3" t="s">
        <v>83</v>
      </c>
      <c r="O7" s="2" t="s">
        <v>84</v>
      </c>
      <c r="P7" s="2">
        <v>2026</v>
      </c>
      <c r="Q7" s="2">
        <v>3</v>
      </c>
      <c r="R7" s="2" t="s">
        <v>85</v>
      </c>
      <c r="S7" s="2" t="s">
        <v>86</v>
      </c>
      <c r="T7" s="4" t="s">
        <v>87</v>
      </c>
      <c r="U7" s="4" t="s">
        <v>88</v>
      </c>
      <c r="V7" s="4" t="s">
        <v>46</v>
      </c>
      <c r="W7" s="4" t="s">
        <v>49</v>
      </c>
      <c r="X7" s="4" t="s">
        <v>77</v>
      </c>
      <c r="Y7" s="4" t="s">
        <v>49</v>
      </c>
      <c r="Z7" s="4" t="s">
        <v>50</v>
      </c>
      <c r="AA7" s="4" t="s">
        <v>46</v>
      </c>
      <c r="AB7" s="5">
        <v>105</v>
      </c>
    </row>
    <row r="8" spans="1:28" ht="28.35" customHeight="1">
      <c r="A8" s="2" t="s">
        <v>28</v>
      </c>
      <c r="B8" s="2" t="s">
        <v>29</v>
      </c>
      <c r="C8" s="3" t="s">
        <v>68</v>
      </c>
      <c r="D8" s="3" t="s">
        <v>79</v>
      </c>
      <c r="E8" s="2" t="s">
        <v>80</v>
      </c>
      <c r="F8" s="2" t="s">
        <v>81</v>
      </c>
      <c r="G8" s="2" t="s">
        <v>34</v>
      </c>
      <c r="H8" s="2" t="s">
        <v>35</v>
      </c>
      <c r="I8" s="3" t="s">
        <v>36</v>
      </c>
      <c r="J8" s="3" t="s">
        <v>82</v>
      </c>
      <c r="K8" s="2" t="s">
        <v>38</v>
      </c>
      <c r="L8" s="2"/>
      <c r="M8" s="2" t="s">
        <v>39</v>
      </c>
      <c r="N8" s="3" t="s">
        <v>89</v>
      </c>
      <c r="O8" s="2" t="s">
        <v>84</v>
      </c>
      <c r="P8" s="2">
        <v>2026</v>
      </c>
      <c r="Q8" s="2">
        <v>3</v>
      </c>
      <c r="R8" s="2" t="s">
        <v>85</v>
      </c>
      <c r="S8" s="2" t="s">
        <v>86</v>
      </c>
      <c r="T8" s="4" t="s">
        <v>87</v>
      </c>
      <c r="U8" s="4" t="s">
        <v>88</v>
      </c>
      <c r="V8" s="4" t="s">
        <v>46</v>
      </c>
      <c r="W8" s="4" t="s">
        <v>49</v>
      </c>
      <c r="X8" s="4" t="s">
        <v>77</v>
      </c>
      <c r="Y8" s="4" t="s">
        <v>49</v>
      </c>
      <c r="Z8" s="4" t="s">
        <v>50</v>
      </c>
      <c r="AA8" s="4" t="s">
        <v>46</v>
      </c>
      <c r="AB8" s="5">
        <v>105</v>
      </c>
    </row>
    <row r="9" spans="1:28" ht="28.35" customHeight="1">
      <c r="A9" s="2" t="s">
        <v>28</v>
      </c>
      <c r="B9" s="2" t="s">
        <v>29</v>
      </c>
      <c r="C9" s="3" t="s">
        <v>90</v>
      </c>
      <c r="D9" s="3" t="s">
        <v>91</v>
      </c>
      <c r="E9" s="2" t="s">
        <v>92</v>
      </c>
      <c r="F9" s="2" t="s">
        <v>93</v>
      </c>
      <c r="G9" s="2" t="s">
        <v>94</v>
      </c>
      <c r="H9" s="2" t="s">
        <v>35</v>
      </c>
      <c r="I9" s="3" t="s">
        <v>36</v>
      </c>
      <c r="J9" s="3" t="s">
        <v>82</v>
      </c>
      <c r="K9" s="2" t="s">
        <v>38</v>
      </c>
      <c r="L9" s="2"/>
      <c r="M9" s="2" t="s">
        <v>39</v>
      </c>
      <c r="N9" s="3" t="s">
        <v>95</v>
      </c>
      <c r="O9" s="2" t="s">
        <v>96</v>
      </c>
      <c r="P9" s="2">
        <v>2026</v>
      </c>
      <c r="Q9" s="2">
        <v>4</v>
      </c>
      <c r="R9" s="2" t="s">
        <v>97</v>
      </c>
      <c r="S9" s="2" t="s">
        <v>86</v>
      </c>
      <c r="T9" s="4" t="s">
        <v>87</v>
      </c>
      <c r="U9" s="4" t="s">
        <v>46</v>
      </c>
      <c r="V9" s="4" t="s">
        <v>46</v>
      </c>
      <c r="W9" s="4" t="s">
        <v>49</v>
      </c>
      <c r="X9" s="4" t="s">
        <v>49</v>
      </c>
      <c r="Y9" s="4" t="s">
        <v>49</v>
      </c>
      <c r="Z9" s="4" t="s">
        <v>98</v>
      </c>
      <c r="AA9" s="4" t="s">
        <v>46</v>
      </c>
      <c r="AB9" s="5">
        <v>150</v>
      </c>
    </row>
    <row r="10" spans="1:28" ht="28.35" customHeight="1">
      <c r="A10" s="2" t="s">
        <v>28</v>
      </c>
      <c r="B10" s="2" t="s">
        <v>29</v>
      </c>
      <c r="C10" s="3" t="s">
        <v>90</v>
      </c>
      <c r="D10" s="3" t="s">
        <v>91</v>
      </c>
      <c r="E10" s="2" t="s">
        <v>92</v>
      </c>
      <c r="F10" s="2" t="s">
        <v>93</v>
      </c>
      <c r="G10" s="2" t="s">
        <v>94</v>
      </c>
      <c r="H10" s="2" t="s">
        <v>35</v>
      </c>
      <c r="I10" s="3" t="s">
        <v>36</v>
      </c>
      <c r="J10" s="3" t="s">
        <v>82</v>
      </c>
      <c r="K10" s="2" t="s">
        <v>38</v>
      </c>
      <c r="L10" s="2"/>
      <c r="M10" s="2" t="s">
        <v>39</v>
      </c>
      <c r="N10" s="3" t="s">
        <v>99</v>
      </c>
      <c r="O10" s="2" t="s">
        <v>96</v>
      </c>
      <c r="P10" s="2">
        <v>2026</v>
      </c>
      <c r="Q10" s="2">
        <v>4</v>
      </c>
      <c r="R10" s="2" t="s">
        <v>100</v>
      </c>
      <c r="S10" s="2" t="s">
        <v>101</v>
      </c>
      <c r="T10" s="4" t="s">
        <v>87</v>
      </c>
      <c r="U10" s="4" t="s">
        <v>60</v>
      </c>
      <c r="V10" s="4" t="s">
        <v>47</v>
      </c>
      <c r="W10" s="4" t="s">
        <v>46</v>
      </c>
      <c r="X10" s="4" t="s">
        <v>49</v>
      </c>
      <c r="Y10" s="4" t="s">
        <v>49</v>
      </c>
      <c r="Z10" s="4" t="s">
        <v>50</v>
      </c>
      <c r="AA10" s="4" t="s">
        <v>46</v>
      </c>
      <c r="AB10" s="5">
        <v>105</v>
      </c>
    </row>
    <row r="11" spans="1:28" ht="28.35" customHeight="1">
      <c r="A11" s="2" t="s">
        <v>28</v>
      </c>
      <c r="B11" s="2" t="s">
        <v>29</v>
      </c>
      <c r="C11" s="3" t="s">
        <v>102</v>
      </c>
      <c r="D11" s="3" t="s">
        <v>103</v>
      </c>
      <c r="E11" s="2" t="s">
        <v>104</v>
      </c>
      <c r="F11" s="2" t="s">
        <v>105</v>
      </c>
      <c r="G11" s="2" t="s">
        <v>34</v>
      </c>
      <c r="H11" s="2" t="s">
        <v>35</v>
      </c>
      <c r="I11" s="3" t="s">
        <v>36</v>
      </c>
      <c r="J11" s="3" t="s">
        <v>37</v>
      </c>
      <c r="K11" s="2" t="s">
        <v>72</v>
      </c>
      <c r="L11" s="2"/>
      <c r="M11" s="2" t="s">
        <v>39</v>
      </c>
      <c r="N11" s="3" t="s">
        <v>106</v>
      </c>
      <c r="O11" s="2" t="s">
        <v>74</v>
      </c>
      <c r="P11" s="2">
        <v>2026</v>
      </c>
      <c r="Q11" s="2">
        <v>6</v>
      </c>
      <c r="R11" s="2" t="s">
        <v>107</v>
      </c>
      <c r="S11" s="2" t="s">
        <v>108</v>
      </c>
      <c r="T11" s="4" t="s">
        <v>44</v>
      </c>
      <c r="U11" s="4" t="s">
        <v>109</v>
      </c>
      <c r="V11" s="4" t="s">
        <v>46</v>
      </c>
      <c r="W11" s="4" t="s">
        <v>60</v>
      </c>
      <c r="X11" s="4" t="s">
        <v>49</v>
      </c>
      <c r="Y11" s="4" t="s">
        <v>49</v>
      </c>
      <c r="Z11" s="4" t="s">
        <v>78</v>
      </c>
      <c r="AA11" s="4" t="s">
        <v>46</v>
      </c>
      <c r="AB11" s="5">
        <v>75</v>
      </c>
    </row>
    <row r="12" spans="1:28" ht="28.35" customHeight="1">
      <c r="A12" s="2" t="s">
        <v>28</v>
      </c>
      <c r="B12" s="2" t="s">
        <v>29</v>
      </c>
      <c r="C12" s="3" t="s">
        <v>110</v>
      </c>
      <c r="D12" s="3" t="s">
        <v>111</v>
      </c>
      <c r="E12" s="2" t="s">
        <v>112</v>
      </c>
      <c r="F12" s="2" t="s">
        <v>113</v>
      </c>
      <c r="G12" s="2" t="s">
        <v>94</v>
      </c>
      <c r="H12" s="2"/>
      <c r="I12" s="3" t="s">
        <v>114</v>
      </c>
      <c r="J12" s="3" t="s">
        <v>115</v>
      </c>
      <c r="K12" s="2" t="s">
        <v>72</v>
      </c>
      <c r="L12" s="2" t="s">
        <v>116</v>
      </c>
      <c r="M12" s="2" t="s">
        <v>39</v>
      </c>
      <c r="N12" s="3" t="s">
        <v>117</v>
      </c>
      <c r="O12" s="2" t="s">
        <v>118</v>
      </c>
      <c r="P12" s="2">
        <v>2026</v>
      </c>
      <c r="Q12" s="2">
        <v>4</v>
      </c>
      <c r="R12" s="2" t="s">
        <v>119</v>
      </c>
      <c r="S12" s="2"/>
      <c r="T12" s="4" t="s">
        <v>120</v>
      </c>
      <c r="U12" s="4" t="s">
        <v>121</v>
      </c>
      <c r="V12" s="4" t="s">
        <v>49</v>
      </c>
      <c r="W12" s="4" t="s">
        <v>121</v>
      </c>
      <c r="X12" s="4" t="s">
        <v>49</v>
      </c>
      <c r="Y12" s="4" t="s">
        <v>49</v>
      </c>
      <c r="Z12" s="4" t="s">
        <v>122</v>
      </c>
      <c r="AA12" s="4" t="s">
        <v>46</v>
      </c>
      <c r="AB12" s="5">
        <v>14</v>
      </c>
    </row>
    <row r="13" spans="1:28" ht="28.35" customHeight="1">
      <c r="A13" s="2" t="s">
        <v>28</v>
      </c>
      <c r="B13" s="2" t="s">
        <v>29</v>
      </c>
      <c r="C13" s="3" t="s">
        <v>110</v>
      </c>
      <c r="D13" s="3" t="s">
        <v>111</v>
      </c>
      <c r="E13" s="2" t="s">
        <v>112</v>
      </c>
      <c r="F13" s="2" t="s">
        <v>113</v>
      </c>
      <c r="G13" s="2" t="s">
        <v>94</v>
      </c>
      <c r="H13" s="2" t="s">
        <v>35</v>
      </c>
      <c r="I13" s="3" t="s">
        <v>36</v>
      </c>
      <c r="J13" s="3" t="s">
        <v>82</v>
      </c>
      <c r="K13" s="2" t="s">
        <v>38</v>
      </c>
      <c r="L13" s="2"/>
      <c r="M13" s="2" t="s">
        <v>39</v>
      </c>
      <c r="N13" s="3" t="s">
        <v>123</v>
      </c>
      <c r="O13" s="2" t="s">
        <v>74</v>
      </c>
      <c r="P13" s="2">
        <v>2026</v>
      </c>
      <c r="Q13" s="2">
        <v>6</v>
      </c>
      <c r="R13" s="2" t="s">
        <v>124</v>
      </c>
      <c r="S13" s="2" t="s">
        <v>125</v>
      </c>
      <c r="T13" s="4" t="s">
        <v>87</v>
      </c>
      <c r="U13" s="4" t="s">
        <v>60</v>
      </c>
      <c r="V13" s="4" t="s">
        <v>47</v>
      </c>
      <c r="W13" s="4" t="s">
        <v>46</v>
      </c>
      <c r="X13" s="4" t="s">
        <v>49</v>
      </c>
      <c r="Y13" s="4" t="s">
        <v>49</v>
      </c>
      <c r="Z13" s="4" t="s">
        <v>50</v>
      </c>
      <c r="AA13" s="4" t="s">
        <v>46</v>
      </c>
      <c r="AB13" s="5">
        <v>105</v>
      </c>
    </row>
    <row r="14" spans="1:28" ht="28.35" customHeight="1">
      <c r="A14" s="2" t="s">
        <v>28</v>
      </c>
      <c r="B14" s="2" t="s">
        <v>29</v>
      </c>
      <c r="C14" s="3" t="s">
        <v>110</v>
      </c>
      <c r="D14" s="3" t="s">
        <v>111</v>
      </c>
      <c r="E14" s="2" t="s">
        <v>112</v>
      </c>
      <c r="F14" s="2" t="s">
        <v>113</v>
      </c>
      <c r="G14" s="2" t="s">
        <v>94</v>
      </c>
      <c r="H14" s="2" t="s">
        <v>35</v>
      </c>
      <c r="I14" s="3" t="s">
        <v>36</v>
      </c>
      <c r="J14" s="3" t="s">
        <v>82</v>
      </c>
      <c r="K14" s="2" t="s">
        <v>38</v>
      </c>
      <c r="L14" s="2"/>
      <c r="M14" s="2" t="s">
        <v>39</v>
      </c>
      <c r="N14" s="3" t="s">
        <v>126</v>
      </c>
      <c r="O14" s="2" t="s">
        <v>74</v>
      </c>
      <c r="P14" s="2">
        <v>2026</v>
      </c>
      <c r="Q14" s="2">
        <v>6</v>
      </c>
      <c r="R14" s="2" t="s">
        <v>124</v>
      </c>
      <c r="S14" s="2" t="s">
        <v>125</v>
      </c>
      <c r="T14" s="4" t="s">
        <v>87</v>
      </c>
      <c r="U14" s="4" t="s">
        <v>60</v>
      </c>
      <c r="V14" s="4" t="s">
        <v>47</v>
      </c>
      <c r="W14" s="4" t="s">
        <v>46</v>
      </c>
      <c r="X14" s="4" t="s">
        <v>49</v>
      </c>
      <c r="Y14" s="4" t="s">
        <v>49</v>
      </c>
      <c r="Z14" s="4" t="s">
        <v>50</v>
      </c>
      <c r="AA14" s="4" t="s">
        <v>46</v>
      </c>
      <c r="AB14" s="5">
        <v>105</v>
      </c>
    </row>
    <row r="15" spans="1:28" ht="28.35" customHeight="1">
      <c r="A15" s="2" t="s">
        <v>28</v>
      </c>
      <c r="B15" s="2" t="s">
        <v>29</v>
      </c>
      <c r="C15" s="3" t="s">
        <v>110</v>
      </c>
      <c r="D15" s="3" t="s">
        <v>111</v>
      </c>
      <c r="E15" s="2" t="s">
        <v>112</v>
      </c>
      <c r="F15" s="2" t="s">
        <v>113</v>
      </c>
      <c r="G15" s="2" t="s">
        <v>94</v>
      </c>
      <c r="H15" s="2" t="s">
        <v>35</v>
      </c>
      <c r="I15" s="3" t="s">
        <v>36</v>
      </c>
      <c r="J15" s="3" t="s">
        <v>82</v>
      </c>
      <c r="K15" s="2" t="s">
        <v>38</v>
      </c>
      <c r="L15" s="2"/>
      <c r="M15" s="2" t="s">
        <v>39</v>
      </c>
      <c r="N15" s="3" t="s">
        <v>127</v>
      </c>
      <c r="O15" s="2" t="s">
        <v>128</v>
      </c>
      <c r="P15" s="2">
        <v>2026</v>
      </c>
      <c r="Q15" s="2">
        <v>5</v>
      </c>
      <c r="R15" s="2" t="s">
        <v>129</v>
      </c>
      <c r="S15" s="2" t="s">
        <v>130</v>
      </c>
      <c r="T15" s="4" t="s">
        <v>87</v>
      </c>
      <c r="U15" s="4" t="s">
        <v>60</v>
      </c>
      <c r="V15" s="4" t="s">
        <v>47</v>
      </c>
      <c r="W15" s="4" t="s">
        <v>46</v>
      </c>
      <c r="X15" s="4" t="s">
        <v>49</v>
      </c>
      <c r="Y15" s="4" t="s">
        <v>49</v>
      </c>
      <c r="Z15" s="4" t="s">
        <v>50</v>
      </c>
      <c r="AA15" s="4" t="s">
        <v>46</v>
      </c>
      <c r="AB15" s="5">
        <v>105</v>
      </c>
    </row>
    <row r="16" spans="1:28" ht="28.35" customHeight="1">
      <c r="A16" s="2" t="s">
        <v>28</v>
      </c>
      <c r="B16" s="2" t="s">
        <v>29</v>
      </c>
      <c r="C16" s="3" t="s">
        <v>110</v>
      </c>
      <c r="D16" s="3" t="s">
        <v>111</v>
      </c>
      <c r="E16" s="2" t="s">
        <v>112</v>
      </c>
      <c r="F16" s="2" t="s">
        <v>113</v>
      </c>
      <c r="G16" s="2" t="s">
        <v>94</v>
      </c>
      <c r="H16" s="2" t="s">
        <v>35</v>
      </c>
      <c r="I16" s="3" t="s">
        <v>36</v>
      </c>
      <c r="J16" s="3" t="s">
        <v>131</v>
      </c>
      <c r="K16" s="2" t="s">
        <v>38</v>
      </c>
      <c r="L16" s="2"/>
      <c r="M16" s="2" t="s">
        <v>39</v>
      </c>
      <c r="N16" s="3" t="s">
        <v>132</v>
      </c>
      <c r="O16" s="2" t="s">
        <v>74</v>
      </c>
      <c r="P16" s="2">
        <v>2026</v>
      </c>
      <c r="Q16" s="2">
        <v>6</v>
      </c>
      <c r="R16" s="2" t="s">
        <v>124</v>
      </c>
      <c r="S16" s="2" t="s">
        <v>133</v>
      </c>
      <c r="T16" s="4" t="s">
        <v>134</v>
      </c>
      <c r="U16" s="4" t="s">
        <v>88</v>
      </c>
      <c r="V16" s="4" t="s">
        <v>47</v>
      </c>
      <c r="W16" s="4" t="s">
        <v>109</v>
      </c>
      <c r="X16" s="4" t="s">
        <v>49</v>
      </c>
      <c r="Y16" s="4" t="s">
        <v>49</v>
      </c>
      <c r="Z16" s="4" t="s">
        <v>50</v>
      </c>
      <c r="AA16" s="4" t="s">
        <v>46</v>
      </c>
      <c r="AB16" s="5">
        <v>74</v>
      </c>
    </row>
    <row r="17" spans="1:28" ht="28.35" customHeight="1">
      <c r="A17" s="2" t="s">
        <v>28</v>
      </c>
      <c r="B17" s="2" t="s">
        <v>29</v>
      </c>
      <c r="C17" s="3" t="s">
        <v>110</v>
      </c>
      <c r="D17" s="3" t="s">
        <v>111</v>
      </c>
      <c r="E17" s="2" t="s">
        <v>112</v>
      </c>
      <c r="F17" s="2" t="s">
        <v>113</v>
      </c>
      <c r="G17" s="2" t="s">
        <v>94</v>
      </c>
      <c r="H17" s="2" t="s">
        <v>35</v>
      </c>
      <c r="I17" s="3" t="s">
        <v>36</v>
      </c>
      <c r="J17" s="3" t="s">
        <v>131</v>
      </c>
      <c r="K17" s="2" t="s">
        <v>72</v>
      </c>
      <c r="L17" s="2"/>
      <c r="M17" s="2" t="s">
        <v>39</v>
      </c>
      <c r="N17" s="3" t="s">
        <v>135</v>
      </c>
      <c r="O17" s="2" t="s">
        <v>74</v>
      </c>
      <c r="P17" s="2">
        <v>2026</v>
      </c>
      <c r="Q17" s="2">
        <v>6</v>
      </c>
      <c r="R17" s="2" t="s">
        <v>124</v>
      </c>
      <c r="S17" s="2" t="s">
        <v>133</v>
      </c>
      <c r="T17" s="4" t="s">
        <v>134</v>
      </c>
      <c r="U17" s="4" t="s">
        <v>60</v>
      </c>
      <c r="V17" s="4" t="s">
        <v>47</v>
      </c>
      <c r="W17" s="4" t="s">
        <v>46</v>
      </c>
      <c r="X17" s="4" t="s">
        <v>49</v>
      </c>
      <c r="Y17" s="4" t="s">
        <v>49</v>
      </c>
      <c r="Z17" s="4" t="s">
        <v>78</v>
      </c>
      <c r="AA17" s="4" t="s">
        <v>46</v>
      </c>
      <c r="AB17" s="5">
        <v>35</v>
      </c>
    </row>
    <row r="18" spans="1:28" ht="28.35" customHeight="1">
      <c r="A18" s="2" t="s">
        <v>28</v>
      </c>
      <c r="B18" s="2" t="s">
        <v>29</v>
      </c>
      <c r="C18" s="3" t="s">
        <v>110</v>
      </c>
      <c r="D18" s="3" t="s">
        <v>111</v>
      </c>
      <c r="E18" s="2" t="s">
        <v>112</v>
      </c>
      <c r="F18" s="2" t="s">
        <v>113</v>
      </c>
      <c r="G18" s="2" t="s">
        <v>94</v>
      </c>
      <c r="H18" s="2" t="s">
        <v>35</v>
      </c>
      <c r="I18" s="3" t="s">
        <v>36</v>
      </c>
      <c r="J18" s="3" t="s">
        <v>82</v>
      </c>
      <c r="K18" s="2" t="s">
        <v>38</v>
      </c>
      <c r="L18" s="2"/>
      <c r="M18" s="2" t="s">
        <v>39</v>
      </c>
      <c r="N18" s="3" t="s">
        <v>136</v>
      </c>
      <c r="O18" s="2" t="s">
        <v>128</v>
      </c>
      <c r="P18" s="2">
        <v>2026</v>
      </c>
      <c r="Q18" s="2">
        <v>5</v>
      </c>
      <c r="R18" s="2" t="s">
        <v>129</v>
      </c>
      <c r="S18" s="2" t="s">
        <v>137</v>
      </c>
      <c r="T18" s="4" t="s">
        <v>87</v>
      </c>
      <c r="U18" s="4" t="s">
        <v>47</v>
      </c>
      <c r="V18" s="4" t="s">
        <v>47</v>
      </c>
      <c r="W18" s="4" t="s">
        <v>49</v>
      </c>
      <c r="X18" s="4" t="s">
        <v>49</v>
      </c>
      <c r="Y18" s="4" t="s">
        <v>49</v>
      </c>
      <c r="Z18" s="4" t="s">
        <v>50</v>
      </c>
      <c r="AA18" s="4" t="s">
        <v>46</v>
      </c>
      <c r="AB18" s="5">
        <v>105</v>
      </c>
    </row>
    <row r="19" spans="1:28" ht="28.35" customHeight="1">
      <c r="A19" s="2" t="s">
        <v>28</v>
      </c>
      <c r="B19" s="2" t="s">
        <v>29</v>
      </c>
      <c r="C19" s="3" t="s">
        <v>138</v>
      </c>
      <c r="D19" s="3" t="s">
        <v>139</v>
      </c>
      <c r="E19" s="2" t="s">
        <v>140</v>
      </c>
      <c r="F19" s="2" t="s">
        <v>141</v>
      </c>
      <c r="G19" s="2" t="s">
        <v>34</v>
      </c>
      <c r="H19" s="2" t="s">
        <v>35</v>
      </c>
      <c r="I19" s="3" t="s">
        <v>36</v>
      </c>
      <c r="J19" s="3" t="s">
        <v>82</v>
      </c>
      <c r="K19" s="2" t="s">
        <v>38</v>
      </c>
      <c r="L19" s="2" t="s">
        <v>142</v>
      </c>
      <c r="M19" s="2" t="s">
        <v>39</v>
      </c>
      <c r="N19" s="3" t="s">
        <v>143</v>
      </c>
      <c r="O19" s="2" t="s">
        <v>128</v>
      </c>
      <c r="P19" s="2">
        <v>2026</v>
      </c>
      <c r="Q19" s="2">
        <v>5</v>
      </c>
      <c r="R19" s="2" t="s">
        <v>144</v>
      </c>
      <c r="S19" s="2" t="s">
        <v>145</v>
      </c>
      <c r="T19" s="4" t="s">
        <v>87</v>
      </c>
      <c r="U19" s="4" t="s">
        <v>46</v>
      </c>
      <c r="V19" s="4" t="s">
        <v>46</v>
      </c>
      <c r="W19" s="4" t="s">
        <v>49</v>
      </c>
      <c r="X19" s="4" t="s">
        <v>49</v>
      </c>
      <c r="Y19" s="4" t="s">
        <v>49</v>
      </c>
      <c r="Z19" s="4" t="s">
        <v>98</v>
      </c>
      <c r="AA19" s="4" t="s">
        <v>46</v>
      </c>
      <c r="AB19" s="5">
        <v>150</v>
      </c>
    </row>
    <row r="20" spans="1:28" ht="28.35" customHeight="1">
      <c r="A20" s="2" t="s">
        <v>28</v>
      </c>
      <c r="B20" s="2" t="s">
        <v>29</v>
      </c>
      <c r="C20" s="3" t="s">
        <v>68</v>
      </c>
      <c r="D20" s="3" t="s">
        <v>146</v>
      </c>
      <c r="E20" s="2" t="s">
        <v>147</v>
      </c>
      <c r="F20" s="2" t="s">
        <v>148</v>
      </c>
      <c r="G20" s="2" t="s">
        <v>34</v>
      </c>
      <c r="H20" s="2" t="s">
        <v>35</v>
      </c>
      <c r="I20" s="3" t="s">
        <v>36</v>
      </c>
      <c r="J20" s="3" t="s">
        <v>82</v>
      </c>
      <c r="K20" s="2" t="s">
        <v>38</v>
      </c>
      <c r="L20" s="2"/>
      <c r="M20" s="2" t="s">
        <v>39</v>
      </c>
      <c r="N20" s="3" t="s">
        <v>149</v>
      </c>
      <c r="O20" s="2" t="s">
        <v>150</v>
      </c>
      <c r="P20" s="2">
        <v>2026</v>
      </c>
      <c r="Q20" s="2">
        <v>5</v>
      </c>
      <c r="R20" s="2" t="s">
        <v>151</v>
      </c>
      <c r="S20" s="2" t="s">
        <v>152</v>
      </c>
      <c r="T20" s="4" t="s">
        <v>87</v>
      </c>
      <c r="U20" s="4" t="s">
        <v>60</v>
      </c>
      <c r="V20" s="4" t="s">
        <v>46</v>
      </c>
      <c r="W20" s="4" t="s">
        <v>49</v>
      </c>
      <c r="X20" s="4" t="s">
        <v>47</v>
      </c>
      <c r="Y20" s="4" t="s">
        <v>49</v>
      </c>
      <c r="Z20" s="4" t="s">
        <v>50</v>
      </c>
      <c r="AA20" s="4" t="s">
        <v>46</v>
      </c>
      <c r="AB20" s="5">
        <v>105</v>
      </c>
    </row>
    <row r="21" spans="1:28" ht="28.35" customHeight="1">
      <c r="A21" s="2" t="s">
        <v>28</v>
      </c>
      <c r="B21" s="2" t="s">
        <v>29</v>
      </c>
      <c r="C21" s="3" t="s">
        <v>68</v>
      </c>
      <c r="D21" s="3" t="s">
        <v>146</v>
      </c>
      <c r="E21" s="2" t="s">
        <v>147</v>
      </c>
      <c r="F21" s="2" t="s">
        <v>148</v>
      </c>
      <c r="G21" s="2" t="s">
        <v>34</v>
      </c>
      <c r="H21" s="2" t="s">
        <v>35</v>
      </c>
      <c r="I21" s="3" t="s">
        <v>36</v>
      </c>
      <c r="J21" s="3" t="s">
        <v>82</v>
      </c>
      <c r="K21" s="2" t="s">
        <v>38</v>
      </c>
      <c r="L21" s="2"/>
      <c r="M21" s="2" t="s">
        <v>39</v>
      </c>
      <c r="N21" s="3" t="s">
        <v>153</v>
      </c>
      <c r="O21" s="2" t="s">
        <v>154</v>
      </c>
      <c r="P21" s="2">
        <v>2026</v>
      </c>
      <c r="Q21" s="2">
        <v>5</v>
      </c>
      <c r="R21" s="2" t="s">
        <v>151</v>
      </c>
      <c r="S21" s="2" t="s">
        <v>155</v>
      </c>
      <c r="T21" s="4" t="s">
        <v>87</v>
      </c>
      <c r="U21" s="4" t="s">
        <v>88</v>
      </c>
      <c r="V21" s="4" t="s">
        <v>47</v>
      </c>
      <c r="W21" s="4" t="s">
        <v>49</v>
      </c>
      <c r="X21" s="4" t="s">
        <v>109</v>
      </c>
      <c r="Y21" s="4" t="s">
        <v>49</v>
      </c>
      <c r="Z21" s="4" t="s">
        <v>50</v>
      </c>
      <c r="AA21" s="4" t="s">
        <v>46</v>
      </c>
      <c r="AB21" s="5">
        <v>105</v>
      </c>
    </row>
    <row r="22" spans="1:28" ht="28.35" customHeight="1">
      <c r="A22" s="2" t="s">
        <v>28</v>
      </c>
      <c r="B22" s="2" t="s">
        <v>29</v>
      </c>
      <c r="C22" s="3" t="s">
        <v>156</v>
      </c>
      <c r="D22" s="3" t="s">
        <v>157</v>
      </c>
      <c r="E22" s="2" t="s">
        <v>158</v>
      </c>
      <c r="F22" s="2" t="s">
        <v>159</v>
      </c>
      <c r="G22" s="2" t="s">
        <v>34</v>
      </c>
      <c r="H22" s="2" t="s">
        <v>35</v>
      </c>
      <c r="I22" s="3" t="s">
        <v>36</v>
      </c>
      <c r="J22" s="3" t="s">
        <v>82</v>
      </c>
      <c r="K22" s="2" t="s">
        <v>72</v>
      </c>
      <c r="L22" s="2"/>
      <c r="M22" s="2" t="s">
        <v>39</v>
      </c>
      <c r="N22" s="3" t="s">
        <v>160</v>
      </c>
      <c r="O22" s="2" t="s">
        <v>128</v>
      </c>
      <c r="P22" s="2">
        <v>2026</v>
      </c>
      <c r="Q22" s="2">
        <v>5</v>
      </c>
      <c r="R22" s="2" t="s">
        <v>58</v>
      </c>
      <c r="S22" s="2" t="s">
        <v>161</v>
      </c>
      <c r="T22" s="4" t="s">
        <v>87</v>
      </c>
      <c r="U22" s="4" t="s">
        <v>60</v>
      </c>
      <c r="V22" s="4" t="s">
        <v>46</v>
      </c>
      <c r="W22" s="4" t="s">
        <v>47</v>
      </c>
      <c r="X22" s="4" t="s">
        <v>49</v>
      </c>
      <c r="Y22" s="4" t="s">
        <v>49</v>
      </c>
      <c r="Z22" s="4" t="s">
        <v>78</v>
      </c>
      <c r="AA22" s="4" t="s">
        <v>46</v>
      </c>
      <c r="AB22" s="5">
        <v>50</v>
      </c>
    </row>
    <row r="23" spans="1:28" ht="28.35" customHeight="1">
      <c r="A23" s="2" t="s">
        <v>28</v>
      </c>
      <c r="B23" s="2" t="s">
        <v>29</v>
      </c>
      <c r="C23" s="3" t="s">
        <v>162</v>
      </c>
      <c r="D23" s="3" t="s">
        <v>163</v>
      </c>
      <c r="E23" s="2" t="s">
        <v>164</v>
      </c>
      <c r="F23" s="2" t="s">
        <v>165</v>
      </c>
      <c r="G23" s="2" t="s">
        <v>34</v>
      </c>
      <c r="H23" s="2"/>
      <c r="I23" s="3" t="s">
        <v>166</v>
      </c>
      <c r="J23" s="3"/>
      <c r="K23" s="2"/>
      <c r="L23" s="2" t="s">
        <v>167</v>
      </c>
      <c r="M23" s="2" t="s">
        <v>39</v>
      </c>
      <c r="N23" s="3" t="s">
        <v>168</v>
      </c>
      <c r="O23" s="2" t="s">
        <v>169</v>
      </c>
      <c r="P23" s="2">
        <v>2026</v>
      </c>
      <c r="Q23" s="2">
        <v>5</v>
      </c>
      <c r="R23" s="2" t="s">
        <v>119</v>
      </c>
      <c r="S23" s="2"/>
      <c r="T23" s="4" t="s">
        <v>170</v>
      </c>
      <c r="U23" s="4" t="s">
        <v>46</v>
      </c>
      <c r="V23" s="4" t="s">
        <v>46</v>
      </c>
      <c r="W23" s="4" t="s">
        <v>49</v>
      </c>
      <c r="X23" s="4" t="s">
        <v>49</v>
      </c>
      <c r="Y23" s="4" t="s">
        <v>49</v>
      </c>
      <c r="Z23" s="4" t="s">
        <v>98</v>
      </c>
      <c r="AA23" s="4" t="s">
        <v>46</v>
      </c>
      <c r="AB23" s="5">
        <v>40</v>
      </c>
    </row>
    <row r="24" spans="1:28" ht="28.35" customHeight="1">
      <c r="A24" s="2" t="s">
        <v>28</v>
      </c>
      <c r="B24" s="2" t="s">
        <v>29</v>
      </c>
      <c r="C24" s="3" t="s">
        <v>162</v>
      </c>
      <c r="D24" s="3" t="s">
        <v>163</v>
      </c>
      <c r="E24" s="2" t="s">
        <v>164</v>
      </c>
      <c r="F24" s="2" t="s">
        <v>165</v>
      </c>
      <c r="G24" s="2" t="s">
        <v>34</v>
      </c>
      <c r="H24" s="2"/>
      <c r="I24" s="3" t="s">
        <v>166</v>
      </c>
      <c r="J24" s="3"/>
      <c r="K24" s="2"/>
      <c r="L24" s="2" t="s">
        <v>171</v>
      </c>
      <c r="M24" s="2" t="s">
        <v>39</v>
      </c>
      <c r="N24" s="3" t="s">
        <v>172</v>
      </c>
      <c r="O24" s="2" t="s">
        <v>173</v>
      </c>
      <c r="P24" s="2">
        <v>2026</v>
      </c>
      <c r="Q24" s="2">
        <v>4</v>
      </c>
      <c r="R24" s="2" t="s">
        <v>119</v>
      </c>
      <c r="S24" s="2"/>
      <c r="T24" s="4" t="s">
        <v>174</v>
      </c>
      <c r="U24" s="4" t="s">
        <v>46</v>
      </c>
      <c r="V24" s="4" t="s">
        <v>46</v>
      </c>
      <c r="W24" s="4" t="s">
        <v>49</v>
      </c>
      <c r="X24" s="4" t="s">
        <v>49</v>
      </c>
      <c r="Y24" s="4" t="s">
        <v>49</v>
      </c>
      <c r="Z24" s="4" t="s">
        <v>98</v>
      </c>
      <c r="AA24" s="4" t="s">
        <v>46</v>
      </c>
      <c r="AB24" s="5">
        <v>20</v>
      </c>
    </row>
    <row r="25" spans="1:28" ht="28.35" customHeight="1">
      <c r="A25" s="2" t="s">
        <v>28</v>
      </c>
      <c r="B25" s="2" t="s">
        <v>29</v>
      </c>
      <c r="C25" s="3" t="s">
        <v>162</v>
      </c>
      <c r="D25" s="3" t="s">
        <v>163</v>
      </c>
      <c r="E25" s="2" t="s">
        <v>164</v>
      </c>
      <c r="F25" s="2" t="s">
        <v>165</v>
      </c>
      <c r="G25" s="2" t="s">
        <v>34</v>
      </c>
      <c r="H25" s="2"/>
      <c r="I25" s="3" t="s">
        <v>166</v>
      </c>
      <c r="J25" s="3"/>
      <c r="K25" s="2"/>
      <c r="L25" s="2" t="s">
        <v>167</v>
      </c>
      <c r="M25" s="2" t="s">
        <v>39</v>
      </c>
      <c r="N25" s="3" t="s">
        <v>175</v>
      </c>
      <c r="O25" s="2" t="s">
        <v>176</v>
      </c>
      <c r="P25" s="2">
        <v>2026</v>
      </c>
      <c r="Q25" s="2">
        <v>3</v>
      </c>
      <c r="R25" s="2" t="s">
        <v>119</v>
      </c>
      <c r="S25" s="2"/>
      <c r="T25" s="4" t="s">
        <v>174</v>
      </c>
      <c r="U25" s="4" t="s">
        <v>46</v>
      </c>
      <c r="V25" s="4" t="s">
        <v>46</v>
      </c>
      <c r="W25" s="4" t="s">
        <v>49</v>
      </c>
      <c r="X25" s="4" t="s">
        <v>49</v>
      </c>
      <c r="Y25" s="4" t="s">
        <v>49</v>
      </c>
      <c r="Z25" s="4" t="s">
        <v>98</v>
      </c>
      <c r="AA25" s="4" t="s">
        <v>46</v>
      </c>
      <c r="AB25" s="5">
        <v>20</v>
      </c>
    </row>
    <row r="26" spans="1:28" ht="28.35" customHeight="1">
      <c r="A26" s="2" t="s">
        <v>28</v>
      </c>
      <c r="B26" s="2" t="s">
        <v>29</v>
      </c>
      <c r="C26" s="3" t="s">
        <v>162</v>
      </c>
      <c r="D26" s="3" t="s">
        <v>163</v>
      </c>
      <c r="E26" s="2" t="s">
        <v>164</v>
      </c>
      <c r="F26" s="2" t="s">
        <v>165</v>
      </c>
      <c r="G26" s="2" t="s">
        <v>34</v>
      </c>
      <c r="H26" s="2"/>
      <c r="I26" s="3" t="s">
        <v>166</v>
      </c>
      <c r="J26" s="3"/>
      <c r="K26" s="2"/>
      <c r="L26" s="2" t="s">
        <v>167</v>
      </c>
      <c r="M26" s="2" t="s">
        <v>39</v>
      </c>
      <c r="N26" s="3" t="s">
        <v>177</v>
      </c>
      <c r="O26" s="2" t="s">
        <v>57</v>
      </c>
      <c r="P26" s="2">
        <v>2026</v>
      </c>
      <c r="Q26" s="2">
        <v>4</v>
      </c>
      <c r="R26" s="2" t="s">
        <v>119</v>
      </c>
      <c r="S26" s="2"/>
      <c r="T26" s="4" t="s">
        <v>174</v>
      </c>
      <c r="U26" s="4" t="s">
        <v>46</v>
      </c>
      <c r="V26" s="4" t="s">
        <v>46</v>
      </c>
      <c r="W26" s="4" t="s">
        <v>49</v>
      </c>
      <c r="X26" s="4" t="s">
        <v>49</v>
      </c>
      <c r="Y26" s="4" t="s">
        <v>49</v>
      </c>
      <c r="Z26" s="4" t="s">
        <v>98</v>
      </c>
      <c r="AA26" s="4" t="s">
        <v>46</v>
      </c>
      <c r="AB26" s="5">
        <v>20</v>
      </c>
    </row>
    <row r="27" spans="1:28" ht="28.35" customHeight="1">
      <c r="A27" s="2" t="s">
        <v>28</v>
      </c>
      <c r="B27" s="2" t="s">
        <v>29</v>
      </c>
      <c r="C27" s="3" t="s">
        <v>162</v>
      </c>
      <c r="D27" s="3" t="s">
        <v>163</v>
      </c>
      <c r="E27" s="2" t="s">
        <v>164</v>
      </c>
      <c r="F27" s="2" t="s">
        <v>165</v>
      </c>
      <c r="G27" s="2" t="s">
        <v>34</v>
      </c>
      <c r="H27" s="2"/>
      <c r="I27" s="3" t="s">
        <v>166</v>
      </c>
      <c r="J27" s="3"/>
      <c r="K27" s="2"/>
      <c r="L27" s="2" t="s">
        <v>178</v>
      </c>
      <c r="M27" s="2" t="s">
        <v>39</v>
      </c>
      <c r="N27" s="3" t="s">
        <v>179</v>
      </c>
      <c r="O27" s="2" t="s">
        <v>180</v>
      </c>
      <c r="P27" s="2">
        <v>2026</v>
      </c>
      <c r="Q27" s="2">
        <v>4</v>
      </c>
      <c r="R27" s="2" t="s">
        <v>119</v>
      </c>
      <c r="S27" s="2"/>
      <c r="T27" s="4" t="s">
        <v>174</v>
      </c>
      <c r="U27" s="4" t="s">
        <v>46</v>
      </c>
      <c r="V27" s="4" t="s">
        <v>46</v>
      </c>
      <c r="W27" s="4" t="s">
        <v>49</v>
      </c>
      <c r="X27" s="4" t="s">
        <v>49</v>
      </c>
      <c r="Y27" s="4" t="s">
        <v>49</v>
      </c>
      <c r="Z27" s="4" t="s">
        <v>98</v>
      </c>
      <c r="AA27" s="4" t="s">
        <v>46</v>
      </c>
      <c r="AB27" s="5">
        <v>20</v>
      </c>
    </row>
    <row r="28" spans="1:28" ht="28.35" customHeight="1">
      <c r="A28" s="2" t="s">
        <v>28</v>
      </c>
      <c r="B28" s="2" t="s">
        <v>29</v>
      </c>
      <c r="C28" s="3" t="s">
        <v>162</v>
      </c>
      <c r="D28" s="3" t="s">
        <v>163</v>
      </c>
      <c r="E28" s="2" t="s">
        <v>164</v>
      </c>
      <c r="F28" s="2" t="s">
        <v>165</v>
      </c>
      <c r="G28" s="2" t="s">
        <v>34</v>
      </c>
      <c r="H28" s="2"/>
      <c r="I28" s="3" t="s">
        <v>166</v>
      </c>
      <c r="J28" s="3"/>
      <c r="K28" s="2"/>
      <c r="L28" s="2" t="s">
        <v>171</v>
      </c>
      <c r="M28" s="2" t="s">
        <v>39</v>
      </c>
      <c r="N28" s="3" t="s">
        <v>181</v>
      </c>
      <c r="O28" s="2" t="s">
        <v>41</v>
      </c>
      <c r="P28" s="2">
        <v>2026</v>
      </c>
      <c r="Q28" s="2">
        <v>3</v>
      </c>
      <c r="R28" s="2" t="s">
        <v>119</v>
      </c>
      <c r="S28" s="2"/>
      <c r="T28" s="4" t="s">
        <v>174</v>
      </c>
      <c r="U28" s="4" t="s">
        <v>46</v>
      </c>
      <c r="V28" s="4" t="s">
        <v>46</v>
      </c>
      <c r="W28" s="4" t="s">
        <v>49</v>
      </c>
      <c r="X28" s="4" t="s">
        <v>49</v>
      </c>
      <c r="Y28" s="4" t="s">
        <v>49</v>
      </c>
      <c r="Z28" s="4" t="s">
        <v>98</v>
      </c>
      <c r="AA28" s="4" t="s">
        <v>46</v>
      </c>
      <c r="AB28" s="5">
        <v>20</v>
      </c>
    </row>
    <row r="29" spans="1:28" ht="28.35" customHeight="1">
      <c r="A29" s="2" t="s">
        <v>28</v>
      </c>
      <c r="B29" s="2" t="s">
        <v>29</v>
      </c>
      <c r="C29" s="3" t="s">
        <v>162</v>
      </c>
      <c r="D29" s="3" t="s">
        <v>163</v>
      </c>
      <c r="E29" s="2" t="s">
        <v>164</v>
      </c>
      <c r="F29" s="2" t="s">
        <v>165</v>
      </c>
      <c r="G29" s="2" t="s">
        <v>34</v>
      </c>
      <c r="H29" s="2"/>
      <c r="I29" s="3" t="s">
        <v>166</v>
      </c>
      <c r="J29" s="3"/>
      <c r="K29" s="2"/>
      <c r="L29" s="2" t="s">
        <v>167</v>
      </c>
      <c r="M29" s="2" t="s">
        <v>39</v>
      </c>
      <c r="N29" s="3" t="s">
        <v>182</v>
      </c>
      <c r="O29" s="2" t="s">
        <v>183</v>
      </c>
      <c r="P29" s="2">
        <v>2026</v>
      </c>
      <c r="Q29" s="2">
        <v>5</v>
      </c>
      <c r="R29" s="2" t="s">
        <v>119</v>
      </c>
      <c r="S29" s="2"/>
      <c r="T29" s="4" t="s">
        <v>184</v>
      </c>
      <c r="U29" s="4" t="s">
        <v>46</v>
      </c>
      <c r="V29" s="4" t="s">
        <v>46</v>
      </c>
      <c r="W29" s="4" t="s">
        <v>49</v>
      </c>
      <c r="X29" s="4" t="s">
        <v>49</v>
      </c>
      <c r="Y29" s="4" t="s">
        <v>49</v>
      </c>
      <c r="Z29" s="4" t="s">
        <v>98</v>
      </c>
      <c r="AA29" s="4" t="s">
        <v>46</v>
      </c>
      <c r="AB29" s="5">
        <v>30</v>
      </c>
    </row>
    <row r="30" spans="1:28" ht="28.35" customHeight="1">
      <c r="A30" s="2" t="s">
        <v>28</v>
      </c>
      <c r="B30" s="2" t="s">
        <v>29</v>
      </c>
      <c r="C30" s="3" t="s">
        <v>102</v>
      </c>
      <c r="D30" s="3" t="s">
        <v>103</v>
      </c>
      <c r="E30" s="2" t="s">
        <v>185</v>
      </c>
      <c r="F30" s="2" t="s">
        <v>186</v>
      </c>
      <c r="G30" s="2" t="s">
        <v>34</v>
      </c>
      <c r="H30" s="2" t="s">
        <v>35</v>
      </c>
      <c r="I30" s="3" t="s">
        <v>36</v>
      </c>
      <c r="J30" s="3" t="s">
        <v>82</v>
      </c>
      <c r="K30" s="2" t="s">
        <v>38</v>
      </c>
      <c r="L30" s="2"/>
      <c r="M30" s="2" t="s">
        <v>39</v>
      </c>
      <c r="N30" s="3" t="s">
        <v>187</v>
      </c>
      <c r="O30" s="2" t="s">
        <v>128</v>
      </c>
      <c r="P30" s="2">
        <v>2026</v>
      </c>
      <c r="Q30" s="2">
        <v>5</v>
      </c>
      <c r="R30" s="2" t="s">
        <v>188</v>
      </c>
      <c r="S30" s="2" t="s">
        <v>189</v>
      </c>
      <c r="T30" s="4" t="s">
        <v>87</v>
      </c>
      <c r="U30" s="4" t="s">
        <v>46</v>
      </c>
      <c r="V30" s="4" t="s">
        <v>46</v>
      </c>
      <c r="W30" s="4" t="s">
        <v>49</v>
      </c>
      <c r="X30" s="4" t="s">
        <v>49</v>
      </c>
      <c r="Y30" s="4" t="s">
        <v>49</v>
      </c>
      <c r="Z30" s="4" t="s">
        <v>98</v>
      </c>
      <c r="AA30" s="4" t="s">
        <v>46</v>
      </c>
      <c r="AB30" s="5">
        <v>150</v>
      </c>
    </row>
    <row r="31" spans="1:28" ht="28.35" customHeight="1">
      <c r="A31" s="2" t="s">
        <v>28</v>
      </c>
      <c r="B31" s="2" t="s">
        <v>29</v>
      </c>
      <c r="C31" s="3" t="s">
        <v>190</v>
      </c>
      <c r="D31" s="3" t="s">
        <v>191</v>
      </c>
      <c r="E31" s="2" t="s">
        <v>192</v>
      </c>
      <c r="F31" s="2" t="s">
        <v>193</v>
      </c>
      <c r="G31" s="2" t="s">
        <v>34</v>
      </c>
      <c r="H31" s="2" t="s">
        <v>35</v>
      </c>
      <c r="I31" s="3" t="s">
        <v>36</v>
      </c>
      <c r="J31" s="3" t="s">
        <v>37</v>
      </c>
      <c r="K31" s="2" t="s">
        <v>38</v>
      </c>
      <c r="L31" s="2"/>
      <c r="M31" s="2" t="s">
        <v>39</v>
      </c>
      <c r="N31" s="3" t="s">
        <v>194</v>
      </c>
      <c r="O31" s="2" t="s">
        <v>195</v>
      </c>
      <c r="P31" s="2">
        <v>2026</v>
      </c>
      <c r="Q31" s="2">
        <v>8</v>
      </c>
      <c r="R31" s="2" t="s">
        <v>75</v>
      </c>
      <c r="S31" s="2" t="s">
        <v>196</v>
      </c>
      <c r="T31" s="4" t="s">
        <v>44</v>
      </c>
      <c r="U31" s="4" t="s">
        <v>60</v>
      </c>
      <c r="V31" s="4" t="s">
        <v>46</v>
      </c>
      <c r="W31" s="4" t="s">
        <v>49</v>
      </c>
      <c r="X31" s="4" t="s">
        <v>47</v>
      </c>
      <c r="Y31" s="4" t="s">
        <v>49</v>
      </c>
      <c r="Z31" s="4" t="s">
        <v>50</v>
      </c>
      <c r="AA31" s="4" t="s">
        <v>46</v>
      </c>
      <c r="AB31" s="5">
        <v>210</v>
      </c>
    </row>
    <row r="32" spans="1:28" ht="28.35" customHeight="1">
      <c r="A32" s="2" t="s">
        <v>28</v>
      </c>
      <c r="B32" s="2" t="s">
        <v>29</v>
      </c>
      <c r="C32" s="3" t="s">
        <v>197</v>
      </c>
      <c r="D32" s="3" t="s">
        <v>198</v>
      </c>
      <c r="E32" s="2" t="s">
        <v>199</v>
      </c>
      <c r="F32" s="2" t="s">
        <v>200</v>
      </c>
      <c r="G32" s="2" t="s">
        <v>201</v>
      </c>
      <c r="H32" s="2" t="s">
        <v>35</v>
      </c>
      <c r="I32" s="3" t="s">
        <v>36</v>
      </c>
      <c r="J32" s="3" t="s">
        <v>82</v>
      </c>
      <c r="K32" s="2" t="s">
        <v>72</v>
      </c>
      <c r="L32" s="2"/>
      <c r="M32" s="2" t="s">
        <v>39</v>
      </c>
      <c r="N32" s="3" t="s">
        <v>202</v>
      </c>
      <c r="O32" s="2" t="s">
        <v>203</v>
      </c>
      <c r="P32" s="2">
        <v>2026</v>
      </c>
      <c r="Q32" s="2">
        <v>6</v>
      </c>
      <c r="R32" s="2" t="s">
        <v>204</v>
      </c>
      <c r="S32" s="2" t="s">
        <v>205</v>
      </c>
      <c r="T32" s="4" t="s">
        <v>87</v>
      </c>
      <c r="U32" s="4" t="s">
        <v>109</v>
      </c>
      <c r="V32" s="4" t="s">
        <v>47</v>
      </c>
      <c r="W32" s="4" t="s">
        <v>47</v>
      </c>
      <c r="X32" s="4" t="s">
        <v>49</v>
      </c>
      <c r="Y32" s="4" t="s">
        <v>49</v>
      </c>
      <c r="Z32" s="4" t="s">
        <v>78</v>
      </c>
      <c r="AA32" s="4" t="s">
        <v>46</v>
      </c>
      <c r="AB32" s="5">
        <v>38</v>
      </c>
    </row>
    <row r="33" spans="1:28" ht="28.35" customHeight="1">
      <c r="A33" s="2" t="s">
        <v>28</v>
      </c>
      <c r="B33" s="2" t="s">
        <v>29</v>
      </c>
      <c r="C33" s="3" t="s">
        <v>206</v>
      </c>
      <c r="D33" s="3" t="s">
        <v>207</v>
      </c>
      <c r="E33" s="2" t="s">
        <v>208</v>
      </c>
      <c r="F33" s="2" t="s">
        <v>209</v>
      </c>
      <c r="G33" s="2" t="s">
        <v>34</v>
      </c>
      <c r="H33" s="2" t="s">
        <v>35</v>
      </c>
      <c r="I33" s="3" t="s">
        <v>36</v>
      </c>
      <c r="J33" s="3" t="s">
        <v>82</v>
      </c>
      <c r="K33" s="2" t="s">
        <v>38</v>
      </c>
      <c r="L33" s="2"/>
      <c r="M33" s="2" t="s">
        <v>39</v>
      </c>
      <c r="N33" s="3" t="s">
        <v>210</v>
      </c>
      <c r="O33" s="2" t="s">
        <v>100</v>
      </c>
      <c r="P33" s="2">
        <v>2026</v>
      </c>
      <c r="Q33" s="2">
        <v>8</v>
      </c>
      <c r="R33" s="2" t="s">
        <v>58</v>
      </c>
      <c r="S33" s="2" t="s">
        <v>211</v>
      </c>
      <c r="T33" s="4" t="s">
        <v>87</v>
      </c>
      <c r="U33" s="4" t="s">
        <v>46</v>
      </c>
      <c r="V33" s="4" t="s">
        <v>46</v>
      </c>
      <c r="W33" s="4" t="s">
        <v>49</v>
      </c>
      <c r="X33" s="4" t="s">
        <v>49</v>
      </c>
      <c r="Y33" s="4" t="s">
        <v>49</v>
      </c>
      <c r="Z33" s="4" t="s">
        <v>98</v>
      </c>
      <c r="AA33" s="4" t="s">
        <v>46</v>
      </c>
      <c r="AB33" s="5">
        <v>150</v>
      </c>
    </row>
    <row r="34" spans="1:28" ht="28.35" customHeight="1">
      <c r="A34" s="2" t="s">
        <v>28</v>
      </c>
      <c r="B34" s="2" t="s">
        <v>29</v>
      </c>
      <c r="C34" s="3" t="s">
        <v>212</v>
      </c>
      <c r="D34" s="3" t="s">
        <v>213</v>
      </c>
      <c r="E34" s="2" t="s">
        <v>214</v>
      </c>
      <c r="F34" s="2" t="s">
        <v>215</v>
      </c>
      <c r="G34" s="2" t="s">
        <v>34</v>
      </c>
      <c r="H34" s="2" t="s">
        <v>35</v>
      </c>
      <c r="I34" s="3" t="s">
        <v>36</v>
      </c>
      <c r="J34" s="3" t="s">
        <v>82</v>
      </c>
      <c r="K34" s="2" t="s">
        <v>38</v>
      </c>
      <c r="L34" s="2"/>
      <c r="M34" s="2" t="s">
        <v>39</v>
      </c>
      <c r="N34" s="3" t="s">
        <v>216</v>
      </c>
      <c r="O34" s="2" t="s">
        <v>74</v>
      </c>
      <c r="P34" s="2">
        <v>2026</v>
      </c>
      <c r="Q34" s="2">
        <v>6</v>
      </c>
      <c r="R34" s="2" t="s">
        <v>217</v>
      </c>
      <c r="S34" s="2" t="s">
        <v>155</v>
      </c>
      <c r="T34" s="4" t="s">
        <v>87</v>
      </c>
      <c r="U34" s="4" t="s">
        <v>60</v>
      </c>
      <c r="V34" s="4" t="s">
        <v>47</v>
      </c>
      <c r="W34" s="4" t="s">
        <v>46</v>
      </c>
      <c r="X34" s="4" t="s">
        <v>49</v>
      </c>
      <c r="Y34" s="4" t="s">
        <v>49</v>
      </c>
      <c r="Z34" s="4" t="s">
        <v>50</v>
      </c>
      <c r="AA34" s="4" t="s">
        <v>46</v>
      </c>
      <c r="AB34" s="5">
        <v>105</v>
      </c>
    </row>
    <row r="35" spans="1:28" ht="28.35" customHeight="1">
      <c r="A35" s="2" t="s">
        <v>28</v>
      </c>
      <c r="B35" s="2" t="s">
        <v>29</v>
      </c>
      <c r="C35" s="3" t="s">
        <v>212</v>
      </c>
      <c r="D35" s="3" t="s">
        <v>213</v>
      </c>
      <c r="E35" s="2" t="s">
        <v>214</v>
      </c>
      <c r="F35" s="2" t="s">
        <v>215</v>
      </c>
      <c r="G35" s="2" t="s">
        <v>34</v>
      </c>
      <c r="H35" s="2" t="s">
        <v>35</v>
      </c>
      <c r="I35" s="3" t="s">
        <v>36</v>
      </c>
      <c r="J35" s="3" t="s">
        <v>82</v>
      </c>
      <c r="K35" s="2" t="s">
        <v>38</v>
      </c>
      <c r="L35" s="2"/>
      <c r="M35" s="2" t="s">
        <v>39</v>
      </c>
      <c r="N35" s="3" t="s">
        <v>218</v>
      </c>
      <c r="O35" s="2" t="s">
        <v>219</v>
      </c>
      <c r="P35" s="2">
        <v>2026</v>
      </c>
      <c r="Q35" s="2">
        <v>3</v>
      </c>
      <c r="R35" s="2" t="s">
        <v>63</v>
      </c>
      <c r="S35" s="2" t="s">
        <v>220</v>
      </c>
      <c r="T35" s="4" t="s">
        <v>87</v>
      </c>
      <c r="U35" s="4" t="s">
        <v>47</v>
      </c>
      <c r="V35" s="4" t="s">
        <v>47</v>
      </c>
      <c r="W35" s="4" t="s">
        <v>49</v>
      </c>
      <c r="X35" s="4" t="s">
        <v>49</v>
      </c>
      <c r="Y35" s="4" t="s">
        <v>49</v>
      </c>
      <c r="Z35" s="4" t="s">
        <v>50</v>
      </c>
      <c r="AA35" s="4" t="s">
        <v>46</v>
      </c>
      <c r="AB35" s="5">
        <v>105</v>
      </c>
    </row>
    <row r="36" spans="1:28" ht="28.35" customHeight="1">
      <c r="A36" s="2" t="s">
        <v>28</v>
      </c>
      <c r="B36" s="2" t="s">
        <v>29</v>
      </c>
      <c r="C36" s="3" t="s">
        <v>212</v>
      </c>
      <c r="D36" s="3" t="s">
        <v>213</v>
      </c>
      <c r="E36" s="2" t="s">
        <v>214</v>
      </c>
      <c r="F36" s="2" t="s">
        <v>215</v>
      </c>
      <c r="G36" s="2" t="s">
        <v>34</v>
      </c>
      <c r="H36" s="2" t="s">
        <v>35</v>
      </c>
      <c r="I36" s="3" t="s">
        <v>36</v>
      </c>
      <c r="J36" s="3" t="s">
        <v>82</v>
      </c>
      <c r="K36" s="2" t="s">
        <v>38</v>
      </c>
      <c r="L36" s="2"/>
      <c r="M36" s="2" t="s">
        <v>39</v>
      </c>
      <c r="N36" s="3" t="s">
        <v>221</v>
      </c>
      <c r="O36" s="2" t="s">
        <v>219</v>
      </c>
      <c r="P36" s="2">
        <v>2026</v>
      </c>
      <c r="Q36" s="2">
        <v>3</v>
      </c>
      <c r="R36" s="2" t="s">
        <v>63</v>
      </c>
      <c r="S36" s="2" t="s">
        <v>222</v>
      </c>
      <c r="T36" s="4" t="s">
        <v>87</v>
      </c>
      <c r="U36" s="4" t="s">
        <v>77</v>
      </c>
      <c r="V36" s="4" t="s">
        <v>47</v>
      </c>
      <c r="W36" s="4" t="s">
        <v>60</v>
      </c>
      <c r="X36" s="4" t="s">
        <v>49</v>
      </c>
      <c r="Y36" s="4" t="s">
        <v>49</v>
      </c>
      <c r="Z36" s="4" t="s">
        <v>50</v>
      </c>
      <c r="AA36" s="4" t="s">
        <v>46</v>
      </c>
      <c r="AB36" s="5">
        <v>105</v>
      </c>
    </row>
    <row r="37" spans="1:28" ht="28.35" customHeight="1">
      <c r="A37" s="2" t="s">
        <v>28</v>
      </c>
      <c r="B37" s="2" t="s">
        <v>29</v>
      </c>
      <c r="C37" s="3" t="s">
        <v>212</v>
      </c>
      <c r="D37" s="3" t="s">
        <v>213</v>
      </c>
      <c r="E37" s="2" t="s">
        <v>214</v>
      </c>
      <c r="F37" s="2" t="s">
        <v>215</v>
      </c>
      <c r="G37" s="2" t="s">
        <v>34</v>
      </c>
      <c r="H37" s="2" t="s">
        <v>35</v>
      </c>
      <c r="I37" s="3" t="s">
        <v>36</v>
      </c>
      <c r="J37" s="3" t="s">
        <v>82</v>
      </c>
      <c r="K37" s="2" t="s">
        <v>38</v>
      </c>
      <c r="L37" s="2"/>
      <c r="M37" s="2" t="s">
        <v>39</v>
      </c>
      <c r="N37" s="3" t="s">
        <v>223</v>
      </c>
      <c r="O37" s="2" t="s">
        <v>74</v>
      </c>
      <c r="P37" s="2">
        <v>2026</v>
      </c>
      <c r="Q37" s="2">
        <v>6</v>
      </c>
      <c r="R37" s="2" t="s">
        <v>217</v>
      </c>
      <c r="S37" s="2" t="s">
        <v>155</v>
      </c>
      <c r="T37" s="4" t="s">
        <v>87</v>
      </c>
      <c r="U37" s="4" t="s">
        <v>109</v>
      </c>
      <c r="V37" s="4" t="s">
        <v>47</v>
      </c>
      <c r="W37" s="4" t="s">
        <v>47</v>
      </c>
      <c r="X37" s="4" t="s">
        <v>49</v>
      </c>
      <c r="Y37" s="4" t="s">
        <v>49</v>
      </c>
      <c r="Z37" s="4" t="s">
        <v>50</v>
      </c>
      <c r="AA37" s="4" t="s">
        <v>46</v>
      </c>
      <c r="AB37" s="5">
        <v>105</v>
      </c>
    </row>
    <row r="38" spans="1:28" ht="28.35" customHeight="1">
      <c r="A38" s="2" t="s">
        <v>28</v>
      </c>
      <c r="B38" s="2" t="s">
        <v>29</v>
      </c>
      <c r="C38" s="3" t="s">
        <v>212</v>
      </c>
      <c r="D38" s="3" t="s">
        <v>213</v>
      </c>
      <c r="E38" s="2" t="s">
        <v>214</v>
      </c>
      <c r="F38" s="2" t="s">
        <v>215</v>
      </c>
      <c r="G38" s="2" t="s">
        <v>34</v>
      </c>
      <c r="H38" s="2" t="s">
        <v>35</v>
      </c>
      <c r="I38" s="3" t="s">
        <v>36</v>
      </c>
      <c r="J38" s="3" t="s">
        <v>82</v>
      </c>
      <c r="K38" s="2" t="s">
        <v>38</v>
      </c>
      <c r="L38" s="2"/>
      <c r="M38" s="2" t="s">
        <v>39</v>
      </c>
      <c r="N38" s="3" t="s">
        <v>224</v>
      </c>
      <c r="O38" s="2" t="s">
        <v>74</v>
      </c>
      <c r="P38" s="2">
        <v>2026</v>
      </c>
      <c r="Q38" s="2">
        <v>6</v>
      </c>
      <c r="R38" s="2" t="s">
        <v>217</v>
      </c>
      <c r="S38" s="2" t="s">
        <v>225</v>
      </c>
      <c r="T38" s="4" t="s">
        <v>87</v>
      </c>
      <c r="U38" s="4" t="s">
        <v>60</v>
      </c>
      <c r="V38" s="4" t="s">
        <v>47</v>
      </c>
      <c r="W38" s="4" t="s">
        <v>46</v>
      </c>
      <c r="X38" s="4" t="s">
        <v>49</v>
      </c>
      <c r="Y38" s="4" t="s">
        <v>49</v>
      </c>
      <c r="Z38" s="4" t="s">
        <v>50</v>
      </c>
      <c r="AA38" s="4" t="s">
        <v>46</v>
      </c>
      <c r="AB38" s="5">
        <v>105</v>
      </c>
    </row>
    <row r="39" spans="1:28" ht="28.35" customHeight="1">
      <c r="A39" s="2" t="s">
        <v>28</v>
      </c>
      <c r="B39" s="2" t="s">
        <v>29</v>
      </c>
      <c r="C39" s="3" t="s">
        <v>212</v>
      </c>
      <c r="D39" s="3" t="s">
        <v>213</v>
      </c>
      <c r="E39" s="2" t="s">
        <v>226</v>
      </c>
      <c r="F39" s="2" t="s">
        <v>227</v>
      </c>
      <c r="G39" s="2" t="s">
        <v>34</v>
      </c>
      <c r="H39" s="2" t="s">
        <v>35</v>
      </c>
      <c r="I39" s="3" t="s">
        <v>36</v>
      </c>
      <c r="J39" s="3" t="s">
        <v>82</v>
      </c>
      <c r="K39" s="2" t="s">
        <v>38</v>
      </c>
      <c r="L39" s="2"/>
      <c r="M39" s="2" t="s">
        <v>39</v>
      </c>
      <c r="N39" s="3" t="s">
        <v>228</v>
      </c>
      <c r="O39" s="2" t="s">
        <v>150</v>
      </c>
      <c r="P39" s="2">
        <v>2026</v>
      </c>
      <c r="Q39" s="2">
        <v>5</v>
      </c>
      <c r="R39" s="2" t="s">
        <v>229</v>
      </c>
      <c r="S39" s="2" t="s">
        <v>230</v>
      </c>
      <c r="T39" s="4" t="s">
        <v>87</v>
      </c>
      <c r="U39" s="4" t="s">
        <v>47</v>
      </c>
      <c r="V39" s="4" t="s">
        <v>47</v>
      </c>
      <c r="W39" s="4" t="s">
        <v>49</v>
      </c>
      <c r="X39" s="4" t="s">
        <v>49</v>
      </c>
      <c r="Y39" s="4" t="s">
        <v>49</v>
      </c>
      <c r="Z39" s="4" t="s">
        <v>50</v>
      </c>
      <c r="AA39" s="4" t="s">
        <v>46</v>
      </c>
      <c r="AB39" s="5">
        <v>105</v>
      </c>
    </row>
    <row r="40" spans="1:28" ht="28.35" customHeight="1">
      <c r="A40" s="2" t="s">
        <v>28</v>
      </c>
      <c r="B40" s="2" t="s">
        <v>29</v>
      </c>
      <c r="C40" s="3" t="s">
        <v>138</v>
      </c>
      <c r="D40" s="3" t="s">
        <v>139</v>
      </c>
      <c r="E40" s="2" t="s">
        <v>231</v>
      </c>
      <c r="F40" s="2" t="s">
        <v>232</v>
      </c>
      <c r="G40" s="2" t="s">
        <v>34</v>
      </c>
      <c r="H40" s="2" t="s">
        <v>35</v>
      </c>
      <c r="I40" s="3" t="s">
        <v>36</v>
      </c>
      <c r="J40" s="3" t="s">
        <v>82</v>
      </c>
      <c r="K40" s="2" t="s">
        <v>38</v>
      </c>
      <c r="L40" s="2"/>
      <c r="M40" s="2" t="s">
        <v>39</v>
      </c>
      <c r="N40" s="3" t="s">
        <v>233</v>
      </c>
      <c r="O40" s="2" t="s">
        <v>234</v>
      </c>
      <c r="P40" s="2">
        <v>2026</v>
      </c>
      <c r="Q40" s="2">
        <v>7</v>
      </c>
      <c r="R40" s="2" t="s">
        <v>58</v>
      </c>
      <c r="S40" s="2" t="s">
        <v>235</v>
      </c>
      <c r="T40" s="4" t="s">
        <v>87</v>
      </c>
      <c r="U40" s="4" t="s">
        <v>46</v>
      </c>
      <c r="V40" s="4" t="s">
        <v>46</v>
      </c>
      <c r="W40" s="4" t="s">
        <v>49</v>
      </c>
      <c r="X40" s="4" t="s">
        <v>49</v>
      </c>
      <c r="Y40" s="4" t="s">
        <v>49</v>
      </c>
      <c r="Z40" s="4" t="s">
        <v>98</v>
      </c>
      <c r="AA40" s="4" t="s">
        <v>46</v>
      </c>
      <c r="AB40" s="5">
        <v>150</v>
      </c>
    </row>
    <row r="41" spans="1:28" ht="28.35" customHeight="1">
      <c r="A41" s="2" t="s">
        <v>28</v>
      </c>
      <c r="B41" s="2" t="s">
        <v>29</v>
      </c>
      <c r="C41" s="3" t="s">
        <v>236</v>
      </c>
      <c r="D41" s="3" t="s">
        <v>237</v>
      </c>
      <c r="E41" s="2" t="s">
        <v>238</v>
      </c>
      <c r="F41" s="2" t="s">
        <v>239</v>
      </c>
      <c r="G41" s="2" t="s">
        <v>34</v>
      </c>
      <c r="H41" s="2" t="s">
        <v>240</v>
      </c>
      <c r="I41" s="3" t="s">
        <v>36</v>
      </c>
      <c r="J41" s="3" t="s">
        <v>82</v>
      </c>
      <c r="K41" s="2" t="s">
        <v>38</v>
      </c>
      <c r="L41" s="2"/>
      <c r="M41" s="2" t="s">
        <v>39</v>
      </c>
      <c r="N41" s="3" t="s">
        <v>241</v>
      </c>
      <c r="O41" s="2" t="s">
        <v>57</v>
      </c>
      <c r="P41" s="2">
        <v>2026</v>
      </c>
      <c r="Q41" s="2">
        <v>4</v>
      </c>
      <c r="R41" s="2" t="s">
        <v>242</v>
      </c>
      <c r="S41" s="2" t="s">
        <v>243</v>
      </c>
      <c r="T41" s="4" t="s">
        <v>87</v>
      </c>
      <c r="U41" s="4" t="s">
        <v>47</v>
      </c>
      <c r="V41" s="4" t="s">
        <v>46</v>
      </c>
      <c r="W41" s="4" t="s">
        <v>46</v>
      </c>
      <c r="X41" s="4" t="s">
        <v>49</v>
      </c>
      <c r="Y41" s="4" t="s">
        <v>49</v>
      </c>
      <c r="Z41" s="4" t="s">
        <v>50</v>
      </c>
      <c r="AA41" s="4" t="s">
        <v>46</v>
      </c>
      <c r="AB41" s="5">
        <v>105</v>
      </c>
    </row>
    <row r="42" spans="1:28" ht="28.35" customHeight="1">
      <c r="A42" s="2" t="s">
        <v>28</v>
      </c>
      <c r="B42" s="2" t="s">
        <v>29</v>
      </c>
      <c r="C42" s="3" t="s">
        <v>206</v>
      </c>
      <c r="D42" s="3" t="s">
        <v>207</v>
      </c>
      <c r="E42" s="2" t="s">
        <v>244</v>
      </c>
      <c r="F42" s="2" t="s">
        <v>245</v>
      </c>
      <c r="G42" s="2" t="s">
        <v>94</v>
      </c>
      <c r="H42" s="2" t="s">
        <v>35</v>
      </c>
      <c r="I42" s="3" t="s">
        <v>36</v>
      </c>
      <c r="J42" s="3" t="s">
        <v>82</v>
      </c>
      <c r="K42" s="2" t="s">
        <v>38</v>
      </c>
      <c r="L42" s="2"/>
      <c r="M42" s="2" t="s">
        <v>39</v>
      </c>
      <c r="N42" s="3" t="s">
        <v>246</v>
      </c>
      <c r="O42" s="2" t="s">
        <v>219</v>
      </c>
      <c r="P42" s="2">
        <v>2026</v>
      </c>
      <c r="Q42" s="2">
        <v>3</v>
      </c>
      <c r="R42" s="2" t="s">
        <v>247</v>
      </c>
      <c r="S42" s="2" t="s">
        <v>248</v>
      </c>
      <c r="T42" s="4" t="s">
        <v>87</v>
      </c>
      <c r="U42" s="4" t="s">
        <v>46</v>
      </c>
      <c r="V42" s="4" t="s">
        <v>46</v>
      </c>
      <c r="W42" s="4" t="s">
        <v>49</v>
      </c>
      <c r="X42" s="4" t="s">
        <v>49</v>
      </c>
      <c r="Y42" s="4" t="s">
        <v>49</v>
      </c>
      <c r="Z42" s="4" t="s">
        <v>98</v>
      </c>
      <c r="AA42" s="4" t="s">
        <v>46</v>
      </c>
      <c r="AB42" s="5">
        <v>150</v>
      </c>
    </row>
    <row r="43" spans="1:28" ht="28.35" customHeight="1">
      <c r="A43" s="2" t="s">
        <v>28</v>
      </c>
      <c r="B43" s="2" t="s">
        <v>29</v>
      </c>
      <c r="C43" s="3" t="s">
        <v>30</v>
      </c>
      <c r="D43" s="3" t="s">
        <v>249</v>
      </c>
      <c r="E43" s="2" t="s">
        <v>250</v>
      </c>
      <c r="F43" s="2" t="s">
        <v>251</v>
      </c>
      <c r="G43" s="2" t="s">
        <v>252</v>
      </c>
      <c r="H43" s="2" t="s">
        <v>35</v>
      </c>
      <c r="I43" s="3" t="s">
        <v>36</v>
      </c>
      <c r="J43" s="3" t="s">
        <v>37</v>
      </c>
      <c r="K43" s="2" t="s">
        <v>38</v>
      </c>
      <c r="L43" s="2"/>
      <c r="M43" s="2" t="s">
        <v>39</v>
      </c>
      <c r="N43" s="3" t="s">
        <v>253</v>
      </c>
      <c r="O43" s="2" t="s">
        <v>254</v>
      </c>
      <c r="P43" s="2">
        <v>2026</v>
      </c>
      <c r="Q43" s="2">
        <v>3</v>
      </c>
      <c r="R43" s="2" t="s">
        <v>85</v>
      </c>
      <c r="S43" s="2" t="s">
        <v>255</v>
      </c>
      <c r="T43" s="4" t="s">
        <v>44</v>
      </c>
      <c r="U43" s="4" t="s">
        <v>45</v>
      </c>
      <c r="V43" s="4" t="s">
        <v>109</v>
      </c>
      <c r="W43" s="4" t="s">
        <v>256</v>
      </c>
      <c r="X43" s="4" t="s">
        <v>49</v>
      </c>
      <c r="Y43" s="4" t="s">
        <v>49</v>
      </c>
      <c r="Z43" s="4" t="s">
        <v>257</v>
      </c>
      <c r="AA43" s="4" t="s">
        <v>46</v>
      </c>
      <c r="AB43" s="5">
        <v>105</v>
      </c>
    </row>
    <row r="44" spans="1:28" ht="28.35" customHeight="1">
      <c r="A44" s="2" t="s">
        <v>28</v>
      </c>
      <c r="B44" s="2" t="s">
        <v>29</v>
      </c>
      <c r="C44" s="3" t="s">
        <v>190</v>
      </c>
      <c r="D44" s="3" t="s">
        <v>258</v>
      </c>
      <c r="E44" s="2" t="s">
        <v>259</v>
      </c>
      <c r="F44" s="2" t="s">
        <v>260</v>
      </c>
      <c r="G44" s="2" t="s">
        <v>34</v>
      </c>
      <c r="H44" s="2" t="s">
        <v>35</v>
      </c>
      <c r="I44" s="3" t="s">
        <v>36</v>
      </c>
      <c r="J44" s="3" t="s">
        <v>82</v>
      </c>
      <c r="K44" s="2" t="s">
        <v>38</v>
      </c>
      <c r="L44" s="2"/>
      <c r="M44" s="2" t="s">
        <v>39</v>
      </c>
      <c r="N44" s="3" t="s">
        <v>261</v>
      </c>
      <c r="O44" s="2" t="s">
        <v>74</v>
      </c>
      <c r="P44" s="2">
        <v>2026</v>
      </c>
      <c r="Q44" s="2">
        <v>6</v>
      </c>
      <c r="R44" s="2" t="s">
        <v>97</v>
      </c>
      <c r="S44" s="2" t="s">
        <v>262</v>
      </c>
      <c r="T44" s="4" t="s">
        <v>87</v>
      </c>
      <c r="U44" s="4" t="s">
        <v>60</v>
      </c>
      <c r="V44" s="4" t="s">
        <v>46</v>
      </c>
      <c r="W44" s="4" t="s">
        <v>49</v>
      </c>
      <c r="X44" s="4" t="s">
        <v>47</v>
      </c>
      <c r="Y44" s="4" t="s">
        <v>49</v>
      </c>
      <c r="Z44" s="4" t="s">
        <v>50</v>
      </c>
      <c r="AA44" s="4" t="s">
        <v>46</v>
      </c>
      <c r="AB44" s="5">
        <v>105</v>
      </c>
    </row>
    <row r="45" spans="1:28" ht="28.35" customHeight="1">
      <c r="A45" s="2" t="s">
        <v>28</v>
      </c>
      <c r="B45" s="2" t="s">
        <v>29</v>
      </c>
      <c r="C45" s="3" t="s">
        <v>190</v>
      </c>
      <c r="D45" s="3" t="s">
        <v>258</v>
      </c>
      <c r="E45" s="2" t="s">
        <v>259</v>
      </c>
      <c r="F45" s="2" t="s">
        <v>260</v>
      </c>
      <c r="G45" s="2" t="s">
        <v>34</v>
      </c>
      <c r="H45" s="2" t="s">
        <v>35</v>
      </c>
      <c r="I45" s="3" t="s">
        <v>36</v>
      </c>
      <c r="J45" s="3" t="s">
        <v>37</v>
      </c>
      <c r="K45" s="2" t="s">
        <v>38</v>
      </c>
      <c r="L45" s="2"/>
      <c r="M45" s="2" t="s">
        <v>39</v>
      </c>
      <c r="N45" s="3" t="s">
        <v>263</v>
      </c>
      <c r="O45" s="2" t="s">
        <v>264</v>
      </c>
      <c r="P45" s="2">
        <v>2026</v>
      </c>
      <c r="Q45" s="2">
        <v>4</v>
      </c>
      <c r="R45" s="2" t="s">
        <v>229</v>
      </c>
      <c r="S45" s="2" t="s">
        <v>265</v>
      </c>
      <c r="T45" s="4" t="s">
        <v>44</v>
      </c>
      <c r="U45" s="4" t="s">
        <v>109</v>
      </c>
      <c r="V45" s="4" t="s">
        <v>46</v>
      </c>
      <c r="W45" s="4" t="s">
        <v>49</v>
      </c>
      <c r="X45" s="4" t="s">
        <v>60</v>
      </c>
      <c r="Y45" s="4" t="s">
        <v>49</v>
      </c>
      <c r="Z45" s="4" t="s">
        <v>50</v>
      </c>
      <c r="AA45" s="4" t="s">
        <v>46</v>
      </c>
      <c r="AB45" s="5">
        <v>210</v>
      </c>
    </row>
    <row r="46" spans="1:28" ht="28.35" customHeight="1">
      <c r="A46" s="2" t="s">
        <v>28</v>
      </c>
      <c r="B46" s="2" t="s">
        <v>29</v>
      </c>
      <c r="C46" s="3" t="s">
        <v>190</v>
      </c>
      <c r="D46" s="3" t="s">
        <v>258</v>
      </c>
      <c r="E46" s="2" t="s">
        <v>259</v>
      </c>
      <c r="F46" s="2" t="s">
        <v>260</v>
      </c>
      <c r="G46" s="2" t="s">
        <v>34</v>
      </c>
      <c r="H46" s="2" t="s">
        <v>35</v>
      </c>
      <c r="I46" s="3" t="s">
        <v>36</v>
      </c>
      <c r="J46" s="3" t="s">
        <v>37</v>
      </c>
      <c r="K46" s="2" t="s">
        <v>38</v>
      </c>
      <c r="L46" s="2" t="s">
        <v>266</v>
      </c>
      <c r="M46" s="2" t="s">
        <v>39</v>
      </c>
      <c r="N46" s="3" t="s">
        <v>267</v>
      </c>
      <c r="O46" s="2" t="s">
        <v>268</v>
      </c>
      <c r="P46" s="2">
        <v>2026</v>
      </c>
      <c r="Q46" s="2">
        <v>4</v>
      </c>
      <c r="R46" s="2" t="s">
        <v>229</v>
      </c>
      <c r="S46" s="2" t="s">
        <v>269</v>
      </c>
      <c r="T46" s="4" t="s">
        <v>44</v>
      </c>
      <c r="U46" s="4" t="s">
        <v>60</v>
      </c>
      <c r="V46" s="4" t="s">
        <v>46</v>
      </c>
      <c r="W46" s="4" t="s">
        <v>49</v>
      </c>
      <c r="X46" s="4" t="s">
        <v>47</v>
      </c>
      <c r="Y46" s="4" t="s">
        <v>49</v>
      </c>
      <c r="Z46" s="4" t="s">
        <v>50</v>
      </c>
      <c r="AA46" s="4" t="s">
        <v>46</v>
      </c>
      <c r="AB46" s="5">
        <v>210</v>
      </c>
    </row>
    <row r="47" spans="1:28" ht="28.35" customHeight="1">
      <c r="A47" s="2" t="s">
        <v>28</v>
      </c>
      <c r="B47" s="2" t="s">
        <v>29</v>
      </c>
      <c r="C47" s="3" t="s">
        <v>206</v>
      </c>
      <c r="D47" s="3" t="s">
        <v>270</v>
      </c>
      <c r="E47" s="2" t="s">
        <v>271</v>
      </c>
      <c r="F47" s="2" t="s">
        <v>272</v>
      </c>
      <c r="G47" s="2" t="s">
        <v>34</v>
      </c>
      <c r="H47" s="2" t="s">
        <v>35</v>
      </c>
      <c r="I47" s="3" t="s">
        <v>36</v>
      </c>
      <c r="J47" s="3" t="s">
        <v>82</v>
      </c>
      <c r="K47" s="2" t="s">
        <v>38</v>
      </c>
      <c r="L47" s="2"/>
      <c r="M47" s="2" t="s">
        <v>39</v>
      </c>
      <c r="N47" s="3" t="s">
        <v>273</v>
      </c>
      <c r="O47" s="2" t="s">
        <v>274</v>
      </c>
      <c r="P47" s="2">
        <v>2026</v>
      </c>
      <c r="Q47" s="2">
        <v>3</v>
      </c>
      <c r="R47" s="2" t="s">
        <v>183</v>
      </c>
      <c r="S47" s="2" t="s">
        <v>275</v>
      </c>
      <c r="T47" s="4" t="s">
        <v>87</v>
      </c>
      <c r="U47" s="4" t="s">
        <v>47</v>
      </c>
      <c r="V47" s="4" t="s">
        <v>49</v>
      </c>
      <c r="W47" s="4" t="s">
        <v>47</v>
      </c>
      <c r="X47" s="4" t="s">
        <v>49</v>
      </c>
      <c r="Y47" s="4" t="s">
        <v>49</v>
      </c>
      <c r="Z47" s="4" t="s">
        <v>276</v>
      </c>
      <c r="AA47" s="4" t="s">
        <v>46</v>
      </c>
      <c r="AB47" s="5">
        <v>0</v>
      </c>
    </row>
    <row r="48" spans="1:28" ht="28.35" customHeight="1">
      <c r="A48" s="2" t="s">
        <v>28</v>
      </c>
      <c r="B48" s="2" t="s">
        <v>29</v>
      </c>
      <c r="C48" s="3" t="s">
        <v>190</v>
      </c>
      <c r="D48" s="3" t="s">
        <v>191</v>
      </c>
      <c r="E48" s="2" t="s">
        <v>277</v>
      </c>
      <c r="F48" s="2" t="s">
        <v>278</v>
      </c>
      <c r="G48" s="2" t="s">
        <v>34</v>
      </c>
      <c r="H48" s="2" t="s">
        <v>35</v>
      </c>
      <c r="I48" s="3" t="s">
        <v>36</v>
      </c>
      <c r="J48" s="3" t="s">
        <v>279</v>
      </c>
      <c r="K48" s="2" t="s">
        <v>38</v>
      </c>
      <c r="L48" s="2"/>
      <c r="M48" s="2" t="s">
        <v>39</v>
      </c>
      <c r="N48" s="3" t="s">
        <v>280</v>
      </c>
      <c r="O48" s="2" t="s">
        <v>173</v>
      </c>
      <c r="P48" s="2">
        <v>2026</v>
      </c>
      <c r="Q48" s="2">
        <v>4</v>
      </c>
      <c r="R48" s="2" t="s">
        <v>281</v>
      </c>
      <c r="S48" s="2" t="s">
        <v>282</v>
      </c>
      <c r="T48" s="4" t="s">
        <v>87</v>
      </c>
      <c r="U48" s="4" t="s">
        <v>77</v>
      </c>
      <c r="V48" s="4" t="s">
        <v>46</v>
      </c>
      <c r="W48" s="4" t="s">
        <v>46</v>
      </c>
      <c r="X48" s="4" t="s">
        <v>60</v>
      </c>
      <c r="Y48" s="4" t="s">
        <v>49</v>
      </c>
      <c r="Z48" s="4" t="s">
        <v>50</v>
      </c>
      <c r="AA48" s="4" t="s">
        <v>46</v>
      </c>
      <c r="AB48" s="5">
        <v>105</v>
      </c>
    </row>
    <row r="49" spans="1:28" ht="28.35" customHeight="1">
      <c r="A49" s="2" t="s">
        <v>28</v>
      </c>
      <c r="B49" s="2" t="s">
        <v>29</v>
      </c>
      <c r="C49" s="3" t="s">
        <v>156</v>
      </c>
      <c r="D49" s="3" t="s">
        <v>283</v>
      </c>
      <c r="E49" s="2" t="s">
        <v>284</v>
      </c>
      <c r="F49" s="2" t="s">
        <v>285</v>
      </c>
      <c r="G49" s="2" t="s">
        <v>34</v>
      </c>
      <c r="H49" s="2" t="s">
        <v>35</v>
      </c>
      <c r="I49" s="3" t="s">
        <v>36</v>
      </c>
      <c r="J49" s="3" t="s">
        <v>82</v>
      </c>
      <c r="K49" s="2" t="s">
        <v>38</v>
      </c>
      <c r="L49" s="2"/>
      <c r="M49" s="2" t="s">
        <v>39</v>
      </c>
      <c r="N49" s="3" t="s">
        <v>286</v>
      </c>
      <c r="O49" s="2" t="s">
        <v>195</v>
      </c>
      <c r="P49" s="2">
        <v>2026</v>
      </c>
      <c r="Q49" s="2">
        <v>8</v>
      </c>
      <c r="R49" s="2" t="s">
        <v>58</v>
      </c>
      <c r="S49" s="2" t="s">
        <v>287</v>
      </c>
      <c r="T49" s="4" t="s">
        <v>87</v>
      </c>
      <c r="U49" s="4" t="s">
        <v>109</v>
      </c>
      <c r="V49" s="4" t="s">
        <v>47</v>
      </c>
      <c r="W49" s="4" t="s">
        <v>47</v>
      </c>
      <c r="X49" s="4" t="s">
        <v>49</v>
      </c>
      <c r="Y49" s="4" t="s">
        <v>49</v>
      </c>
      <c r="Z49" s="4" t="s">
        <v>50</v>
      </c>
      <c r="AA49" s="4" t="s">
        <v>46</v>
      </c>
      <c r="AB49" s="5">
        <v>105</v>
      </c>
    </row>
    <row r="50" spans="1:28" ht="28.35" customHeight="1">
      <c r="A50" s="2" t="s">
        <v>28</v>
      </c>
      <c r="B50" s="2" t="s">
        <v>29</v>
      </c>
      <c r="C50" s="3" t="s">
        <v>156</v>
      </c>
      <c r="D50" s="3" t="s">
        <v>283</v>
      </c>
      <c r="E50" s="2" t="s">
        <v>284</v>
      </c>
      <c r="F50" s="2" t="s">
        <v>285</v>
      </c>
      <c r="G50" s="2" t="s">
        <v>34</v>
      </c>
      <c r="H50" s="2" t="s">
        <v>35</v>
      </c>
      <c r="I50" s="3" t="s">
        <v>36</v>
      </c>
      <c r="J50" s="3" t="s">
        <v>37</v>
      </c>
      <c r="K50" s="2" t="s">
        <v>72</v>
      </c>
      <c r="L50" s="2"/>
      <c r="M50" s="2" t="s">
        <v>39</v>
      </c>
      <c r="N50" s="3" t="s">
        <v>288</v>
      </c>
      <c r="O50" s="2" t="s">
        <v>129</v>
      </c>
      <c r="P50" s="2">
        <v>2026</v>
      </c>
      <c r="Q50" s="2">
        <v>6</v>
      </c>
      <c r="R50" s="2" t="s">
        <v>119</v>
      </c>
      <c r="S50" s="2" t="s">
        <v>262</v>
      </c>
      <c r="T50" s="4" t="s">
        <v>44</v>
      </c>
      <c r="U50" s="4" t="s">
        <v>60</v>
      </c>
      <c r="V50" s="4" t="s">
        <v>46</v>
      </c>
      <c r="W50" s="4" t="s">
        <v>47</v>
      </c>
      <c r="X50" s="4" t="s">
        <v>49</v>
      </c>
      <c r="Y50" s="4" t="s">
        <v>49</v>
      </c>
      <c r="Z50" s="4" t="s">
        <v>78</v>
      </c>
      <c r="AA50" s="4" t="s">
        <v>46</v>
      </c>
      <c r="AB50" s="5">
        <v>100</v>
      </c>
    </row>
    <row r="51" spans="1:28" ht="28.35" customHeight="1">
      <c r="A51" s="2" t="s">
        <v>28</v>
      </c>
      <c r="B51" s="2" t="s">
        <v>29</v>
      </c>
      <c r="C51" s="3" t="s">
        <v>197</v>
      </c>
      <c r="D51" s="3" t="s">
        <v>289</v>
      </c>
      <c r="E51" s="2" t="s">
        <v>290</v>
      </c>
      <c r="F51" s="2" t="s">
        <v>291</v>
      </c>
      <c r="G51" s="2" t="s">
        <v>201</v>
      </c>
      <c r="H51" s="2" t="s">
        <v>35</v>
      </c>
      <c r="I51" s="3" t="s">
        <v>36</v>
      </c>
      <c r="J51" s="3" t="s">
        <v>82</v>
      </c>
      <c r="K51" s="2" t="s">
        <v>72</v>
      </c>
      <c r="L51" s="2"/>
      <c r="M51" s="2" t="s">
        <v>39</v>
      </c>
      <c r="N51" s="3" t="s">
        <v>292</v>
      </c>
      <c r="O51" s="2" t="s">
        <v>268</v>
      </c>
      <c r="P51" s="2">
        <v>2026</v>
      </c>
      <c r="Q51" s="2">
        <v>4</v>
      </c>
      <c r="R51" s="2" t="s">
        <v>293</v>
      </c>
      <c r="S51" s="2" t="s">
        <v>294</v>
      </c>
      <c r="T51" s="4" t="s">
        <v>87</v>
      </c>
      <c r="U51" s="4" t="s">
        <v>47</v>
      </c>
      <c r="V51" s="4" t="s">
        <v>46</v>
      </c>
      <c r="W51" s="4" t="s">
        <v>46</v>
      </c>
      <c r="X51" s="4" t="s">
        <v>49</v>
      </c>
      <c r="Y51" s="4" t="s">
        <v>49</v>
      </c>
      <c r="Z51" s="4" t="s">
        <v>295</v>
      </c>
      <c r="AA51" s="4" t="s">
        <v>46</v>
      </c>
      <c r="AB51" s="5">
        <v>75</v>
      </c>
    </row>
    <row r="52" spans="1:28" ht="28.35" customHeight="1">
      <c r="A52" s="2" t="s">
        <v>28</v>
      </c>
      <c r="B52" s="2" t="s">
        <v>29</v>
      </c>
      <c r="C52" s="3" t="s">
        <v>212</v>
      </c>
      <c r="D52" s="3" t="s">
        <v>213</v>
      </c>
      <c r="E52" s="2" t="s">
        <v>296</v>
      </c>
      <c r="F52" s="2" t="s">
        <v>297</v>
      </c>
      <c r="G52" s="2" t="s">
        <v>34</v>
      </c>
      <c r="H52" s="2" t="s">
        <v>35</v>
      </c>
      <c r="I52" s="3" t="s">
        <v>36</v>
      </c>
      <c r="J52" s="3" t="s">
        <v>82</v>
      </c>
      <c r="K52" s="2" t="s">
        <v>38</v>
      </c>
      <c r="L52" s="2"/>
      <c r="M52" s="2" t="s">
        <v>39</v>
      </c>
      <c r="N52" s="3" t="s">
        <v>298</v>
      </c>
      <c r="O52" s="2" t="s">
        <v>234</v>
      </c>
      <c r="P52" s="2">
        <v>2026</v>
      </c>
      <c r="Q52" s="2">
        <v>7</v>
      </c>
      <c r="R52" s="2" t="s">
        <v>100</v>
      </c>
      <c r="S52" s="2" t="s">
        <v>299</v>
      </c>
      <c r="T52" s="4" t="s">
        <v>87</v>
      </c>
      <c r="U52" s="4" t="s">
        <v>47</v>
      </c>
      <c r="V52" s="4" t="s">
        <v>46</v>
      </c>
      <c r="W52" s="4" t="s">
        <v>49</v>
      </c>
      <c r="X52" s="4" t="s">
        <v>46</v>
      </c>
      <c r="Y52" s="4" t="s">
        <v>49</v>
      </c>
      <c r="Z52" s="4" t="s">
        <v>50</v>
      </c>
      <c r="AA52" s="4" t="s">
        <v>46</v>
      </c>
      <c r="AB52" s="5">
        <v>105</v>
      </c>
    </row>
    <row r="53" spans="1:28" ht="28.35" customHeight="1">
      <c r="A53" s="2" t="s">
        <v>28</v>
      </c>
      <c r="B53" s="2" t="s">
        <v>29</v>
      </c>
      <c r="C53" s="3" t="s">
        <v>212</v>
      </c>
      <c r="D53" s="3" t="s">
        <v>213</v>
      </c>
      <c r="E53" s="2" t="s">
        <v>296</v>
      </c>
      <c r="F53" s="2" t="s">
        <v>297</v>
      </c>
      <c r="G53" s="2" t="s">
        <v>34</v>
      </c>
      <c r="H53" s="2" t="s">
        <v>35</v>
      </c>
      <c r="I53" s="3" t="s">
        <v>36</v>
      </c>
      <c r="J53" s="3" t="s">
        <v>82</v>
      </c>
      <c r="K53" s="2" t="s">
        <v>38</v>
      </c>
      <c r="L53" s="2"/>
      <c r="M53" s="2" t="s">
        <v>39</v>
      </c>
      <c r="N53" s="3" t="s">
        <v>300</v>
      </c>
      <c r="O53" s="2" t="s">
        <v>96</v>
      </c>
      <c r="P53" s="2">
        <v>2026</v>
      </c>
      <c r="Q53" s="2">
        <v>4</v>
      </c>
      <c r="R53" s="2" t="s">
        <v>129</v>
      </c>
      <c r="S53" s="2" t="s">
        <v>145</v>
      </c>
      <c r="T53" s="4" t="s">
        <v>87</v>
      </c>
      <c r="U53" s="4" t="s">
        <v>47</v>
      </c>
      <c r="V53" s="4" t="s">
        <v>47</v>
      </c>
      <c r="W53" s="4" t="s">
        <v>49</v>
      </c>
      <c r="X53" s="4" t="s">
        <v>49</v>
      </c>
      <c r="Y53" s="4" t="s">
        <v>49</v>
      </c>
      <c r="Z53" s="4" t="s">
        <v>50</v>
      </c>
      <c r="AA53" s="4" t="s">
        <v>46</v>
      </c>
      <c r="AB53" s="5">
        <v>105</v>
      </c>
    </row>
    <row r="54" spans="1:28" ht="28.35" customHeight="1">
      <c r="A54" s="2" t="s">
        <v>28</v>
      </c>
      <c r="B54" s="2" t="s">
        <v>29</v>
      </c>
      <c r="C54" s="3" t="s">
        <v>212</v>
      </c>
      <c r="D54" s="3" t="s">
        <v>213</v>
      </c>
      <c r="E54" s="2" t="s">
        <v>296</v>
      </c>
      <c r="F54" s="2" t="s">
        <v>297</v>
      </c>
      <c r="G54" s="2" t="s">
        <v>34</v>
      </c>
      <c r="H54" s="2" t="s">
        <v>35</v>
      </c>
      <c r="I54" s="3" t="s">
        <v>36</v>
      </c>
      <c r="J54" s="3" t="s">
        <v>82</v>
      </c>
      <c r="K54" s="2" t="s">
        <v>38</v>
      </c>
      <c r="L54" s="2"/>
      <c r="M54" s="2" t="s">
        <v>39</v>
      </c>
      <c r="N54" s="3" t="s">
        <v>301</v>
      </c>
      <c r="O54" s="2" t="s">
        <v>128</v>
      </c>
      <c r="P54" s="2">
        <v>2026</v>
      </c>
      <c r="Q54" s="2">
        <v>5</v>
      </c>
      <c r="R54" s="2" t="s">
        <v>302</v>
      </c>
      <c r="S54" s="2" t="s">
        <v>303</v>
      </c>
      <c r="T54" s="4" t="s">
        <v>87</v>
      </c>
      <c r="U54" s="4" t="s">
        <v>47</v>
      </c>
      <c r="V54" s="4" t="s">
        <v>47</v>
      </c>
      <c r="W54" s="4" t="s">
        <v>49</v>
      </c>
      <c r="X54" s="4" t="s">
        <v>49</v>
      </c>
      <c r="Y54" s="4" t="s">
        <v>49</v>
      </c>
      <c r="Z54" s="4" t="s">
        <v>50</v>
      </c>
      <c r="AA54" s="4" t="s">
        <v>46</v>
      </c>
      <c r="AB54" s="5">
        <v>105</v>
      </c>
    </row>
    <row r="55" spans="1:28" ht="28.35" customHeight="1">
      <c r="A55" s="2" t="s">
        <v>28</v>
      </c>
      <c r="B55" s="2" t="s">
        <v>29</v>
      </c>
      <c r="C55" s="3" t="s">
        <v>212</v>
      </c>
      <c r="D55" s="3" t="s">
        <v>213</v>
      </c>
      <c r="E55" s="2" t="s">
        <v>296</v>
      </c>
      <c r="F55" s="2" t="s">
        <v>297</v>
      </c>
      <c r="G55" s="2" t="s">
        <v>34</v>
      </c>
      <c r="H55" s="2" t="s">
        <v>35</v>
      </c>
      <c r="I55" s="3" t="s">
        <v>36</v>
      </c>
      <c r="J55" s="3" t="s">
        <v>82</v>
      </c>
      <c r="K55" s="2" t="s">
        <v>38</v>
      </c>
      <c r="L55" s="2"/>
      <c r="M55" s="2" t="s">
        <v>39</v>
      </c>
      <c r="N55" s="3" t="s">
        <v>304</v>
      </c>
      <c r="O55" s="2" t="s">
        <v>96</v>
      </c>
      <c r="P55" s="2">
        <v>2026</v>
      </c>
      <c r="Q55" s="2">
        <v>4</v>
      </c>
      <c r="R55" s="2" t="s">
        <v>305</v>
      </c>
      <c r="S55" s="2" t="s">
        <v>306</v>
      </c>
      <c r="T55" s="4" t="s">
        <v>87</v>
      </c>
      <c r="U55" s="4" t="s">
        <v>47</v>
      </c>
      <c r="V55" s="4" t="s">
        <v>47</v>
      </c>
      <c r="W55" s="4" t="s">
        <v>49</v>
      </c>
      <c r="X55" s="4" t="s">
        <v>49</v>
      </c>
      <c r="Y55" s="4" t="s">
        <v>49</v>
      </c>
      <c r="Z55" s="4" t="s">
        <v>50</v>
      </c>
      <c r="AA55" s="4" t="s">
        <v>46</v>
      </c>
      <c r="AB55" s="5">
        <v>105</v>
      </c>
    </row>
    <row r="56" spans="1:28" ht="28.35" customHeight="1">
      <c r="A56" s="2" t="s">
        <v>28</v>
      </c>
      <c r="B56" s="2" t="s">
        <v>29</v>
      </c>
      <c r="C56" s="3" t="s">
        <v>138</v>
      </c>
      <c r="D56" s="3" t="s">
        <v>307</v>
      </c>
      <c r="E56" s="2" t="s">
        <v>308</v>
      </c>
      <c r="F56" s="2" t="s">
        <v>309</v>
      </c>
      <c r="G56" s="2" t="s">
        <v>34</v>
      </c>
      <c r="H56" s="2" t="s">
        <v>240</v>
      </c>
      <c r="I56" s="3" t="s">
        <v>36</v>
      </c>
      <c r="J56" s="3" t="s">
        <v>82</v>
      </c>
      <c r="K56" s="2" t="s">
        <v>38</v>
      </c>
      <c r="L56" s="2" t="s">
        <v>310</v>
      </c>
      <c r="M56" s="2" t="s">
        <v>39</v>
      </c>
      <c r="N56" s="3" t="s">
        <v>311</v>
      </c>
      <c r="O56" s="2" t="s">
        <v>129</v>
      </c>
      <c r="P56" s="2">
        <v>2026</v>
      </c>
      <c r="Q56" s="2">
        <v>6</v>
      </c>
      <c r="R56" s="2" t="s">
        <v>119</v>
      </c>
      <c r="S56" s="2" t="s">
        <v>312</v>
      </c>
      <c r="T56" s="4" t="s">
        <v>87</v>
      </c>
      <c r="U56" s="4" t="s">
        <v>46</v>
      </c>
      <c r="V56" s="4" t="s">
        <v>46</v>
      </c>
      <c r="W56" s="4" t="s">
        <v>49</v>
      </c>
      <c r="X56" s="4" t="s">
        <v>49</v>
      </c>
      <c r="Y56" s="4" t="s">
        <v>49</v>
      </c>
      <c r="Z56" s="4" t="s">
        <v>98</v>
      </c>
      <c r="AA56" s="4" t="s">
        <v>46</v>
      </c>
      <c r="AB56" s="5">
        <v>150</v>
      </c>
    </row>
    <row r="57" spans="1:28" ht="28.35" customHeight="1">
      <c r="A57" s="2" t="s">
        <v>28</v>
      </c>
      <c r="B57" s="2" t="s">
        <v>29</v>
      </c>
      <c r="C57" s="3" t="s">
        <v>102</v>
      </c>
      <c r="D57" s="3" t="s">
        <v>103</v>
      </c>
      <c r="E57" s="2" t="s">
        <v>313</v>
      </c>
      <c r="F57" s="2" t="s">
        <v>314</v>
      </c>
      <c r="G57" s="2" t="s">
        <v>34</v>
      </c>
      <c r="H57" s="2" t="s">
        <v>35</v>
      </c>
      <c r="I57" s="3" t="s">
        <v>36</v>
      </c>
      <c r="J57" s="3" t="s">
        <v>279</v>
      </c>
      <c r="K57" s="2" t="s">
        <v>38</v>
      </c>
      <c r="L57" s="2"/>
      <c r="M57" s="2" t="s">
        <v>39</v>
      </c>
      <c r="N57" s="3" t="s">
        <v>315</v>
      </c>
      <c r="O57" s="2" t="s">
        <v>234</v>
      </c>
      <c r="P57" s="2">
        <v>2026</v>
      </c>
      <c r="Q57" s="2">
        <v>7</v>
      </c>
      <c r="R57" s="2" t="s">
        <v>204</v>
      </c>
      <c r="S57" s="2" t="s">
        <v>316</v>
      </c>
      <c r="T57" s="4" t="s">
        <v>87</v>
      </c>
      <c r="U57" s="4" t="s">
        <v>47</v>
      </c>
      <c r="V57" s="4" t="s">
        <v>47</v>
      </c>
      <c r="W57" s="4" t="s">
        <v>49</v>
      </c>
      <c r="X57" s="4" t="s">
        <v>49</v>
      </c>
      <c r="Y57" s="4" t="s">
        <v>49</v>
      </c>
      <c r="Z57" s="4" t="s">
        <v>50</v>
      </c>
      <c r="AA57" s="4" t="s">
        <v>46</v>
      </c>
      <c r="AB57" s="5">
        <v>105</v>
      </c>
    </row>
    <row r="58" spans="1:28" ht="28.35" customHeight="1">
      <c r="A58" s="2" t="s">
        <v>28</v>
      </c>
      <c r="B58" s="2" t="s">
        <v>29</v>
      </c>
      <c r="C58" s="3" t="s">
        <v>206</v>
      </c>
      <c r="D58" s="3" t="s">
        <v>317</v>
      </c>
      <c r="E58" s="2" t="s">
        <v>318</v>
      </c>
      <c r="F58" s="2" t="s">
        <v>319</v>
      </c>
      <c r="G58" s="2" t="s">
        <v>34</v>
      </c>
      <c r="H58" s="2" t="s">
        <v>35</v>
      </c>
      <c r="I58" s="3" t="s">
        <v>36</v>
      </c>
      <c r="J58" s="3" t="s">
        <v>82</v>
      </c>
      <c r="K58" s="2" t="s">
        <v>38</v>
      </c>
      <c r="L58" s="2"/>
      <c r="M58" s="2" t="s">
        <v>39</v>
      </c>
      <c r="N58" s="3" t="s">
        <v>320</v>
      </c>
      <c r="O58" s="2" t="s">
        <v>100</v>
      </c>
      <c r="P58" s="2">
        <v>2026</v>
      </c>
      <c r="Q58" s="2">
        <v>8</v>
      </c>
      <c r="R58" s="2" t="s">
        <v>58</v>
      </c>
      <c r="S58" s="2" t="s">
        <v>321</v>
      </c>
      <c r="T58" s="4" t="s">
        <v>87</v>
      </c>
      <c r="U58" s="4" t="s">
        <v>46</v>
      </c>
      <c r="V58" s="4" t="s">
        <v>46</v>
      </c>
      <c r="W58" s="4" t="s">
        <v>49</v>
      </c>
      <c r="X58" s="4" t="s">
        <v>49</v>
      </c>
      <c r="Y58" s="4" t="s">
        <v>49</v>
      </c>
      <c r="Z58" s="4" t="s">
        <v>98</v>
      </c>
      <c r="AA58" s="4" t="s">
        <v>46</v>
      </c>
      <c r="AB58" s="5">
        <v>150</v>
      </c>
    </row>
    <row r="59" spans="1:28" ht="28.35" customHeight="1">
      <c r="A59" s="2" t="s">
        <v>28</v>
      </c>
      <c r="B59" s="2" t="s">
        <v>29</v>
      </c>
      <c r="C59" s="3" t="s">
        <v>322</v>
      </c>
      <c r="D59" s="3" t="s">
        <v>323</v>
      </c>
      <c r="E59" s="2" t="s">
        <v>324</v>
      </c>
      <c r="F59" s="2" t="s">
        <v>325</v>
      </c>
      <c r="G59" s="2" t="s">
        <v>34</v>
      </c>
      <c r="H59" s="2" t="s">
        <v>35</v>
      </c>
      <c r="I59" s="3" t="s">
        <v>36</v>
      </c>
      <c r="J59" s="3" t="s">
        <v>82</v>
      </c>
      <c r="K59" s="2" t="s">
        <v>38</v>
      </c>
      <c r="L59" s="2"/>
      <c r="M59" s="2" t="s">
        <v>39</v>
      </c>
      <c r="N59" s="3" t="s">
        <v>326</v>
      </c>
      <c r="O59" s="2" t="s">
        <v>219</v>
      </c>
      <c r="P59" s="2">
        <v>2026</v>
      </c>
      <c r="Q59" s="2">
        <v>3</v>
      </c>
      <c r="R59" s="2" t="s">
        <v>327</v>
      </c>
      <c r="S59" s="2" t="s">
        <v>328</v>
      </c>
      <c r="T59" s="4" t="s">
        <v>87</v>
      </c>
      <c r="U59" s="4" t="s">
        <v>47</v>
      </c>
      <c r="V59" s="4" t="s">
        <v>46</v>
      </c>
      <c r="W59" s="4" t="s">
        <v>46</v>
      </c>
      <c r="X59" s="4" t="s">
        <v>49</v>
      </c>
      <c r="Y59" s="4" t="s">
        <v>49</v>
      </c>
      <c r="Z59" s="4" t="s">
        <v>50</v>
      </c>
      <c r="AA59" s="4" t="s">
        <v>46</v>
      </c>
      <c r="AB59" s="5">
        <v>105</v>
      </c>
    </row>
    <row r="60" spans="1:28" ht="28.35" customHeight="1">
      <c r="A60" s="2" t="s">
        <v>28</v>
      </c>
      <c r="B60" s="2" t="s">
        <v>29</v>
      </c>
      <c r="C60" s="3" t="s">
        <v>322</v>
      </c>
      <c r="D60" s="3" t="s">
        <v>323</v>
      </c>
      <c r="E60" s="2" t="s">
        <v>324</v>
      </c>
      <c r="F60" s="2" t="s">
        <v>325</v>
      </c>
      <c r="G60" s="2" t="s">
        <v>34</v>
      </c>
      <c r="H60" s="2" t="s">
        <v>35</v>
      </c>
      <c r="I60" s="3" t="s">
        <v>36</v>
      </c>
      <c r="J60" s="3" t="s">
        <v>82</v>
      </c>
      <c r="K60" s="2" t="s">
        <v>72</v>
      </c>
      <c r="L60" s="2"/>
      <c r="M60" s="2" t="s">
        <v>39</v>
      </c>
      <c r="N60" s="3" t="s">
        <v>329</v>
      </c>
      <c r="O60" s="2" t="s">
        <v>74</v>
      </c>
      <c r="P60" s="2">
        <v>2026</v>
      </c>
      <c r="Q60" s="2">
        <v>6</v>
      </c>
      <c r="R60" s="2" t="s">
        <v>124</v>
      </c>
      <c r="S60" s="2" t="s">
        <v>330</v>
      </c>
      <c r="T60" s="4" t="s">
        <v>87</v>
      </c>
      <c r="U60" s="4" t="s">
        <v>60</v>
      </c>
      <c r="V60" s="4" t="s">
        <v>46</v>
      </c>
      <c r="W60" s="4" t="s">
        <v>47</v>
      </c>
      <c r="X60" s="4" t="s">
        <v>49</v>
      </c>
      <c r="Y60" s="4" t="s">
        <v>49</v>
      </c>
      <c r="Z60" s="4" t="s">
        <v>78</v>
      </c>
      <c r="AA60" s="4" t="s">
        <v>46</v>
      </c>
      <c r="AB60" s="5">
        <v>50</v>
      </c>
    </row>
    <row r="61" spans="1:28" ht="28.35" customHeight="1">
      <c r="A61" s="2" t="s">
        <v>28</v>
      </c>
      <c r="B61" s="2" t="s">
        <v>29</v>
      </c>
      <c r="C61" s="3" t="s">
        <v>30</v>
      </c>
      <c r="D61" s="3" t="s">
        <v>331</v>
      </c>
      <c r="E61" s="2" t="s">
        <v>332</v>
      </c>
      <c r="F61" s="2" t="s">
        <v>333</v>
      </c>
      <c r="G61" s="2" t="s">
        <v>34</v>
      </c>
      <c r="H61" s="2"/>
      <c r="I61" s="3" t="s">
        <v>114</v>
      </c>
      <c r="J61" s="3" t="s">
        <v>115</v>
      </c>
      <c r="K61" s="2" t="s">
        <v>72</v>
      </c>
      <c r="L61" s="2" t="s">
        <v>334</v>
      </c>
      <c r="M61" s="2" t="s">
        <v>39</v>
      </c>
      <c r="N61" s="3" t="s">
        <v>335</v>
      </c>
      <c r="O61" s="2" t="s">
        <v>336</v>
      </c>
      <c r="P61" s="2">
        <v>2026</v>
      </c>
      <c r="Q61" s="2">
        <v>3</v>
      </c>
      <c r="R61" s="2" t="s">
        <v>337</v>
      </c>
      <c r="S61" s="2"/>
      <c r="T61" s="4" t="s">
        <v>120</v>
      </c>
      <c r="U61" s="4" t="s">
        <v>46</v>
      </c>
      <c r="V61" s="4" t="s">
        <v>49</v>
      </c>
      <c r="W61" s="4" t="s">
        <v>46</v>
      </c>
      <c r="X61" s="4" t="s">
        <v>49</v>
      </c>
      <c r="Y61" s="4" t="s">
        <v>49</v>
      </c>
      <c r="Z61" s="4" t="s">
        <v>98</v>
      </c>
      <c r="AA61" s="4" t="s">
        <v>46</v>
      </c>
      <c r="AB61" s="5">
        <v>10</v>
      </c>
    </row>
    <row r="62" spans="1:28" ht="28.35" customHeight="1">
      <c r="A62" s="2" t="s">
        <v>28</v>
      </c>
      <c r="B62" s="2" t="s">
        <v>29</v>
      </c>
      <c r="C62" s="3" t="s">
        <v>30</v>
      </c>
      <c r="D62" s="3" t="s">
        <v>331</v>
      </c>
      <c r="E62" s="2" t="s">
        <v>332</v>
      </c>
      <c r="F62" s="2" t="s">
        <v>333</v>
      </c>
      <c r="G62" s="2" t="s">
        <v>34</v>
      </c>
      <c r="H62" s="2" t="s">
        <v>35</v>
      </c>
      <c r="I62" s="3" t="s">
        <v>36</v>
      </c>
      <c r="J62" s="3" t="s">
        <v>37</v>
      </c>
      <c r="K62" s="2" t="s">
        <v>38</v>
      </c>
      <c r="L62" s="2"/>
      <c r="M62" s="2" t="s">
        <v>39</v>
      </c>
      <c r="N62" s="3" t="s">
        <v>338</v>
      </c>
      <c r="O62" s="2" t="s">
        <v>254</v>
      </c>
      <c r="P62" s="2">
        <v>2026</v>
      </c>
      <c r="Q62" s="2">
        <v>3</v>
      </c>
      <c r="R62" s="2" t="s">
        <v>339</v>
      </c>
      <c r="S62" s="2" t="s">
        <v>340</v>
      </c>
      <c r="T62" s="4" t="s">
        <v>44</v>
      </c>
      <c r="U62" s="4" t="s">
        <v>47</v>
      </c>
      <c r="V62" s="4" t="s">
        <v>46</v>
      </c>
      <c r="W62" s="4" t="s">
        <v>46</v>
      </c>
      <c r="X62" s="4" t="s">
        <v>49</v>
      </c>
      <c r="Y62" s="4" t="s">
        <v>49</v>
      </c>
      <c r="Z62" s="4" t="s">
        <v>50</v>
      </c>
      <c r="AA62" s="4" t="s">
        <v>46</v>
      </c>
      <c r="AB62" s="5">
        <v>210</v>
      </c>
    </row>
    <row r="63" spans="1:28" ht="28.35" customHeight="1">
      <c r="A63" s="2" t="s">
        <v>28</v>
      </c>
      <c r="B63" s="2" t="s">
        <v>29</v>
      </c>
      <c r="C63" s="3" t="s">
        <v>102</v>
      </c>
      <c r="D63" s="3" t="s">
        <v>103</v>
      </c>
      <c r="E63" s="2" t="s">
        <v>341</v>
      </c>
      <c r="F63" s="2" t="s">
        <v>342</v>
      </c>
      <c r="G63" s="2" t="s">
        <v>34</v>
      </c>
      <c r="H63" s="2" t="s">
        <v>35</v>
      </c>
      <c r="I63" s="3" t="s">
        <v>36</v>
      </c>
      <c r="J63" s="3" t="s">
        <v>279</v>
      </c>
      <c r="K63" s="2" t="s">
        <v>38</v>
      </c>
      <c r="L63" s="2"/>
      <c r="M63" s="2" t="s">
        <v>39</v>
      </c>
      <c r="N63" s="3" t="s">
        <v>315</v>
      </c>
      <c r="O63" s="2" t="s">
        <v>234</v>
      </c>
      <c r="P63" s="2">
        <v>2026</v>
      </c>
      <c r="Q63" s="2">
        <v>7</v>
      </c>
      <c r="R63" s="2" t="s">
        <v>100</v>
      </c>
      <c r="S63" s="2" t="s">
        <v>316</v>
      </c>
      <c r="T63" s="4" t="s">
        <v>87</v>
      </c>
      <c r="U63" s="4" t="s">
        <v>47</v>
      </c>
      <c r="V63" s="4" t="s">
        <v>47</v>
      </c>
      <c r="W63" s="4" t="s">
        <v>49</v>
      </c>
      <c r="X63" s="4" t="s">
        <v>49</v>
      </c>
      <c r="Y63" s="4" t="s">
        <v>49</v>
      </c>
      <c r="Z63" s="4" t="s">
        <v>50</v>
      </c>
      <c r="AA63" s="4" t="s">
        <v>46</v>
      </c>
      <c r="AB63" s="5">
        <v>105</v>
      </c>
    </row>
    <row r="64" spans="1:28" ht="28.35" customHeight="1">
      <c r="A64" s="2" t="s">
        <v>28</v>
      </c>
      <c r="B64" s="2" t="s">
        <v>29</v>
      </c>
      <c r="C64" s="3" t="s">
        <v>190</v>
      </c>
      <c r="D64" s="3" t="s">
        <v>191</v>
      </c>
      <c r="E64" s="2" t="s">
        <v>343</v>
      </c>
      <c r="F64" s="2" t="s">
        <v>344</v>
      </c>
      <c r="G64" s="2" t="s">
        <v>94</v>
      </c>
      <c r="H64" s="2" t="s">
        <v>35</v>
      </c>
      <c r="I64" s="3" t="s">
        <v>36</v>
      </c>
      <c r="J64" s="3" t="s">
        <v>279</v>
      </c>
      <c r="K64" s="2" t="s">
        <v>38</v>
      </c>
      <c r="L64" s="2"/>
      <c r="M64" s="2" t="s">
        <v>39</v>
      </c>
      <c r="N64" s="3" t="s">
        <v>345</v>
      </c>
      <c r="O64" s="2" t="s">
        <v>150</v>
      </c>
      <c r="P64" s="2">
        <v>2026</v>
      </c>
      <c r="Q64" s="2">
        <v>5</v>
      </c>
      <c r="R64" s="2" t="s">
        <v>293</v>
      </c>
      <c r="S64" s="2" t="s">
        <v>346</v>
      </c>
      <c r="T64" s="4" t="s">
        <v>87</v>
      </c>
      <c r="U64" s="4" t="s">
        <v>47</v>
      </c>
      <c r="V64" s="4" t="s">
        <v>47</v>
      </c>
      <c r="W64" s="4" t="s">
        <v>49</v>
      </c>
      <c r="X64" s="4" t="s">
        <v>49</v>
      </c>
      <c r="Y64" s="4" t="s">
        <v>49</v>
      </c>
      <c r="Z64" s="4" t="s">
        <v>50</v>
      </c>
      <c r="AA64" s="4" t="s">
        <v>46</v>
      </c>
      <c r="AB64" s="5">
        <v>105</v>
      </c>
    </row>
    <row r="65" spans="1:28" ht="28.35" customHeight="1">
      <c r="A65" s="2" t="s">
        <v>28</v>
      </c>
      <c r="B65" s="2" t="s">
        <v>29</v>
      </c>
      <c r="C65" s="3" t="s">
        <v>212</v>
      </c>
      <c r="D65" s="3" t="s">
        <v>347</v>
      </c>
      <c r="E65" s="2" t="s">
        <v>348</v>
      </c>
      <c r="F65" s="2" t="s">
        <v>349</v>
      </c>
      <c r="G65" s="2" t="s">
        <v>34</v>
      </c>
      <c r="H65" s="2" t="s">
        <v>35</v>
      </c>
      <c r="I65" s="3" t="s">
        <v>36</v>
      </c>
      <c r="J65" s="3" t="s">
        <v>131</v>
      </c>
      <c r="K65" s="2" t="s">
        <v>38</v>
      </c>
      <c r="L65" s="2"/>
      <c r="M65" s="2" t="s">
        <v>39</v>
      </c>
      <c r="N65" s="3" t="s">
        <v>350</v>
      </c>
      <c r="O65" s="2" t="s">
        <v>337</v>
      </c>
      <c r="P65" s="2">
        <v>2026</v>
      </c>
      <c r="Q65" s="2">
        <v>3</v>
      </c>
      <c r="R65" s="2" t="s">
        <v>188</v>
      </c>
      <c r="S65" s="2" t="s">
        <v>351</v>
      </c>
      <c r="T65" s="4" t="s">
        <v>134</v>
      </c>
      <c r="U65" s="4" t="s">
        <v>47</v>
      </c>
      <c r="V65" s="4" t="s">
        <v>47</v>
      </c>
      <c r="W65" s="4" t="s">
        <v>49</v>
      </c>
      <c r="X65" s="4" t="s">
        <v>49</v>
      </c>
      <c r="Y65" s="4" t="s">
        <v>49</v>
      </c>
      <c r="Z65" s="4" t="s">
        <v>50</v>
      </c>
      <c r="AA65" s="4" t="s">
        <v>46</v>
      </c>
      <c r="AB65" s="5">
        <v>74</v>
      </c>
    </row>
    <row r="66" spans="1:28" ht="28.35" customHeight="1">
      <c r="A66" s="2" t="s">
        <v>28</v>
      </c>
      <c r="B66" s="2" t="s">
        <v>29</v>
      </c>
      <c r="C66" s="3" t="s">
        <v>352</v>
      </c>
      <c r="D66" s="3" t="s">
        <v>353</v>
      </c>
      <c r="E66" s="2" t="s">
        <v>354</v>
      </c>
      <c r="F66" s="2" t="s">
        <v>355</v>
      </c>
      <c r="G66" s="2" t="s">
        <v>34</v>
      </c>
      <c r="H66" s="2" t="s">
        <v>35</v>
      </c>
      <c r="I66" s="3" t="s">
        <v>36</v>
      </c>
      <c r="J66" s="3" t="s">
        <v>82</v>
      </c>
      <c r="K66" s="2" t="s">
        <v>38</v>
      </c>
      <c r="L66" s="2"/>
      <c r="M66" s="2" t="s">
        <v>39</v>
      </c>
      <c r="N66" s="3" t="s">
        <v>356</v>
      </c>
      <c r="O66" s="2" t="s">
        <v>74</v>
      </c>
      <c r="P66" s="2">
        <v>2026</v>
      </c>
      <c r="Q66" s="2">
        <v>6</v>
      </c>
      <c r="R66" s="2" t="s">
        <v>75</v>
      </c>
      <c r="S66" s="2" t="s">
        <v>357</v>
      </c>
      <c r="T66" s="4" t="s">
        <v>87</v>
      </c>
      <c r="U66" s="4" t="s">
        <v>47</v>
      </c>
      <c r="V66" s="4" t="s">
        <v>47</v>
      </c>
      <c r="W66" s="4" t="s">
        <v>49</v>
      </c>
      <c r="X66" s="4" t="s">
        <v>49</v>
      </c>
      <c r="Y66" s="4" t="s">
        <v>49</v>
      </c>
      <c r="Z66" s="4" t="s">
        <v>50</v>
      </c>
      <c r="AA66" s="4" t="s">
        <v>46</v>
      </c>
      <c r="AB66" s="5">
        <v>105</v>
      </c>
    </row>
    <row r="67" spans="1:28" ht="28.35" customHeight="1">
      <c r="A67" s="2" t="s">
        <v>28</v>
      </c>
      <c r="B67" s="2" t="s">
        <v>29</v>
      </c>
      <c r="C67" s="3" t="s">
        <v>190</v>
      </c>
      <c r="D67" s="3" t="s">
        <v>358</v>
      </c>
      <c r="E67" s="2" t="s">
        <v>359</v>
      </c>
      <c r="F67" s="2" t="s">
        <v>360</v>
      </c>
      <c r="G67" s="2" t="s">
        <v>34</v>
      </c>
      <c r="H67" s="2"/>
      <c r="I67" s="3" t="s">
        <v>114</v>
      </c>
      <c r="J67" s="3" t="s">
        <v>115</v>
      </c>
      <c r="K67" s="2" t="s">
        <v>38</v>
      </c>
      <c r="L67" s="2" t="s">
        <v>361</v>
      </c>
      <c r="M67" s="2" t="s">
        <v>39</v>
      </c>
      <c r="N67" s="3" t="s">
        <v>362</v>
      </c>
      <c r="O67" s="2" t="s">
        <v>363</v>
      </c>
      <c r="P67" s="2">
        <v>2026</v>
      </c>
      <c r="Q67" s="2">
        <v>3</v>
      </c>
      <c r="R67" s="2" t="s">
        <v>337</v>
      </c>
      <c r="S67" s="2"/>
      <c r="T67" s="4" t="s">
        <v>120</v>
      </c>
      <c r="U67" s="4" t="s">
        <v>46</v>
      </c>
      <c r="V67" s="4" t="s">
        <v>46</v>
      </c>
      <c r="W67" s="4" t="s">
        <v>49</v>
      </c>
      <c r="X67" s="4" t="s">
        <v>49</v>
      </c>
      <c r="Y67" s="4" t="s">
        <v>49</v>
      </c>
      <c r="Z67" s="4" t="s">
        <v>98</v>
      </c>
      <c r="AA67" s="4" t="s">
        <v>46</v>
      </c>
      <c r="AB67" s="5">
        <v>100</v>
      </c>
    </row>
    <row r="68" spans="1:28" ht="28.35" customHeight="1">
      <c r="A68" s="2" t="s">
        <v>28</v>
      </c>
      <c r="B68" s="2" t="s">
        <v>29</v>
      </c>
      <c r="C68" s="3" t="s">
        <v>138</v>
      </c>
      <c r="D68" s="3" t="s">
        <v>139</v>
      </c>
      <c r="E68" s="2" t="s">
        <v>364</v>
      </c>
      <c r="F68" s="2" t="s">
        <v>365</v>
      </c>
      <c r="G68" s="2" t="s">
        <v>34</v>
      </c>
      <c r="H68" s="2" t="s">
        <v>240</v>
      </c>
      <c r="I68" s="3" t="s">
        <v>36</v>
      </c>
      <c r="J68" s="3" t="s">
        <v>82</v>
      </c>
      <c r="K68" s="2" t="s">
        <v>38</v>
      </c>
      <c r="L68" s="2"/>
      <c r="M68" s="2" t="s">
        <v>39</v>
      </c>
      <c r="N68" s="3" t="s">
        <v>366</v>
      </c>
      <c r="O68" s="2" t="s">
        <v>100</v>
      </c>
      <c r="P68" s="2">
        <v>2026</v>
      </c>
      <c r="Q68" s="2">
        <v>8</v>
      </c>
      <c r="R68" s="2" t="s">
        <v>58</v>
      </c>
      <c r="S68" s="2" t="s">
        <v>367</v>
      </c>
      <c r="T68" s="4" t="s">
        <v>87</v>
      </c>
      <c r="U68" s="4" t="s">
        <v>46</v>
      </c>
      <c r="V68" s="4" t="s">
        <v>46</v>
      </c>
      <c r="W68" s="4" t="s">
        <v>49</v>
      </c>
      <c r="X68" s="4" t="s">
        <v>49</v>
      </c>
      <c r="Y68" s="4" t="s">
        <v>49</v>
      </c>
      <c r="Z68" s="4" t="s">
        <v>98</v>
      </c>
      <c r="AA68" s="4" t="s">
        <v>46</v>
      </c>
      <c r="AB68" s="5">
        <v>150</v>
      </c>
    </row>
    <row r="69" spans="1:28" ht="28.35" customHeight="1">
      <c r="A69" s="2" t="s">
        <v>28</v>
      </c>
      <c r="B69" s="2" t="s">
        <v>29</v>
      </c>
      <c r="C69" s="3" t="s">
        <v>190</v>
      </c>
      <c r="D69" s="3" t="s">
        <v>368</v>
      </c>
      <c r="E69" s="2" t="s">
        <v>369</v>
      </c>
      <c r="F69" s="2" t="s">
        <v>370</v>
      </c>
      <c r="G69" s="2" t="s">
        <v>34</v>
      </c>
      <c r="H69" s="2" t="s">
        <v>35</v>
      </c>
      <c r="I69" s="3" t="s">
        <v>36</v>
      </c>
      <c r="J69" s="3" t="s">
        <v>37</v>
      </c>
      <c r="K69" s="2" t="s">
        <v>38</v>
      </c>
      <c r="L69" s="2"/>
      <c r="M69" s="2" t="s">
        <v>39</v>
      </c>
      <c r="N69" s="3" t="s">
        <v>371</v>
      </c>
      <c r="O69" s="2" t="s">
        <v>363</v>
      </c>
      <c r="P69" s="2">
        <v>2026</v>
      </c>
      <c r="Q69" s="2">
        <v>3</v>
      </c>
      <c r="R69" s="2" t="s">
        <v>372</v>
      </c>
      <c r="S69" s="2" t="s">
        <v>373</v>
      </c>
      <c r="T69" s="4" t="s">
        <v>44</v>
      </c>
      <c r="U69" s="4" t="s">
        <v>77</v>
      </c>
      <c r="V69" s="4" t="s">
        <v>47</v>
      </c>
      <c r="W69" s="4" t="s">
        <v>60</v>
      </c>
      <c r="X69" s="4" t="s">
        <v>49</v>
      </c>
      <c r="Y69" s="4" t="s">
        <v>49</v>
      </c>
      <c r="Z69" s="4" t="s">
        <v>50</v>
      </c>
      <c r="AA69" s="4" t="s">
        <v>46</v>
      </c>
      <c r="AB69" s="5">
        <v>210</v>
      </c>
    </row>
    <row r="70" spans="1:28" ht="28.35" customHeight="1">
      <c r="A70" s="2" t="s">
        <v>28</v>
      </c>
      <c r="B70" s="2" t="s">
        <v>29</v>
      </c>
      <c r="C70" s="3" t="s">
        <v>190</v>
      </c>
      <c r="D70" s="3" t="s">
        <v>368</v>
      </c>
      <c r="E70" s="2" t="s">
        <v>369</v>
      </c>
      <c r="F70" s="2" t="s">
        <v>370</v>
      </c>
      <c r="G70" s="2" t="s">
        <v>34</v>
      </c>
      <c r="H70" s="2" t="s">
        <v>35</v>
      </c>
      <c r="I70" s="3" t="s">
        <v>36</v>
      </c>
      <c r="J70" s="3" t="s">
        <v>37</v>
      </c>
      <c r="K70" s="2" t="s">
        <v>38</v>
      </c>
      <c r="L70" s="2"/>
      <c r="M70" s="2" t="s">
        <v>39</v>
      </c>
      <c r="N70" s="3" t="s">
        <v>374</v>
      </c>
      <c r="O70" s="2" t="s">
        <v>173</v>
      </c>
      <c r="P70" s="2">
        <v>2026</v>
      </c>
      <c r="Q70" s="2">
        <v>4</v>
      </c>
      <c r="R70" s="2" t="s">
        <v>58</v>
      </c>
      <c r="S70" s="2" t="s">
        <v>375</v>
      </c>
      <c r="T70" s="4" t="s">
        <v>44</v>
      </c>
      <c r="U70" s="4" t="s">
        <v>88</v>
      </c>
      <c r="V70" s="4" t="s">
        <v>46</v>
      </c>
      <c r="W70" s="4" t="s">
        <v>77</v>
      </c>
      <c r="X70" s="4" t="s">
        <v>49</v>
      </c>
      <c r="Y70" s="4" t="s">
        <v>49</v>
      </c>
      <c r="Z70" s="4" t="s">
        <v>50</v>
      </c>
      <c r="AA70" s="4" t="s">
        <v>46</v>
      </c>
      <c r="AB70" s="5">
        <v>210</v>
      </c>
    </row>
    <row r="71" spans="1:28" ht="28.35" customHeight="1">
      <c r="A71" s="2" t="s">
        <v>28</v>
      </c>
      <c r="B71" s="2" t="s">
        <v>29</v>
      </c>
      <c r="C71" s="3" t="s">
        <v>68</v>
      </c>
      <c r="D71" s="3" t="s">
        <v>146</v>
      </c>
      <c r="E71" s="2" t="s">
        <v>376</v>
      </c>
      <c r="F71" s="2" t="s">
        <v>377</v>
      </c>
      <c r="G71" s="2" t="s">
        <v>34</v>
      </c>
      <c r="H71" s="2" t="s">
        <v>35</v>
      </c>
      <c r="I71" s="3" t="s">
        <v>36</v>
      </c>
      <c r="J71" s="3" t="s">
        <v>82</v>
      </c>
      <c r="K71" s="2" t="s">
        <v>72</v>
      </c>
      <c r="L71" s="2"/>
      <c r="M71" s="2" t="s">
        <v>39</v>
      </c>
      <c r="N71" s="3" t="s">
        <v>378</v>
      </c>
      <c r="O71" s="2" t="s">
        <v>96</v>
      </c>
      <c r="P71" s="2">
        <v>2026</v>
      </c>
      <c r="Q71" s="2">
        <v>4</v>
      </c>
      <c r="R71" s="2" t="s">
        <v>129</v>
      </c>
      <c r="S71" s="2" t="s">
        <v>330</v>
      </c>
      <c r="T71" s="4" t="s">
        <v>87</v>
      </c>
      <c r="U71" s="4" t="s">
        <v>77</v>
      </c>
      <c r="V71" s="4" t="s">
        <v>47</v>
      </c>
      <c r="W71" s="4" t="s">
        <v>60</v>
      </c>
      <c r="X71" s="4" t="s">
        <v>49</v>
      </c>
      <c r="Y71" s="4" t="s">
        <v>49</v>
      </c>
      <c r="Z71" s="4" t="s">
        <v>379</v>
      </c>
      <c r="AA71" s="4" t="s">
        <v>46</v>
      </c>
      <c r="AB71" s="5">
        <v>30</v>
      </c>
    </row>
    <row r="72" spans="1:28" ht="28.35" customHeight="1">
      <c r="A72" s="2" t="s">
        <v>28</v>
      </c>
      <c r="B72" s="2" t="s">
        <v>29</v>
      </c>
      <c r="C72" s="3" t="s">
        <v>197</v>
      </c>
      <c r="D72" s="3" t="s">
        <v>289</v>
      </c>
      <c r="E72" s="2" t="s">
        <v>380</v>
      </c>
      <c r="F72" s="2" t="s">
        <v>381</v>
      </c>
      <c r="G72" s="2" t="s">
        <v>201</v>
      </c>
      <c r="H72" s="2" t="s">
        <v>35</v>
      </c>
      <c r="I72" s="3" t="s">
        <v>36</v>
      </c>
      <c r="J72" s="3" t="s">
        <v>82</v>
      </c>
      <c r="K72" s="2" t="s">
        <v>38</v>
      </c>
      <c r="L72" s="2"/>
      <c r="M72" s="2" t="s">
        <v>39</v>
      </c>
      <c r="N72" s="3" t="s">
        <v>382</v>
      </c>
      <c r="O72" s="2" t="s">
        <v>383</v>
      </c>
      <c r="P72" s="2">
        <v>2026</v>
      </c>
      <c r="Q72" s="2">
        <v>5</v>
      </c>
      <c r="R72" s="2" t="s">
        <v>281</v>
      </c>
      <c r="S72" s="2" t="s">
        <v>384</v>
      </c>
      <c r="T72" s="4" t="s">
        <v>87</v>
      </c>
      <c r="U72" s="4" t="s">
        <v>47</v>
      </c>
      <c r="V72" s="4" t="s">
        <v>46</v>
      </c>
      <c r="W72" s="4" t="s">
        <v>46</v>
      </c>
      <c r="X72" s="4" t="s">
        <v>49</v>
      </c>
      <c r="Y72" s="4" t="s">
        <v>49</v>
      </c>
      <c r="Z72" s="4" t="s">
        <v>50</v>
      </c>
      <c r="AA72" s="4" t="s">
        <v>46</v>
      </c>
      <c r="AB72" s="5">
        <v>105</v>
      </c>
    </row>
    <row r="73" spans="1:28" ht="28.35" customHeight="1">
      <c r="A73" s="2" t="s">
        <v>28</v>
      </c>
      <c r="B73" s="2" t="s">
        <v>29</v>
      </c>
      <c r="C73" s="3" t="s">
        <v>197</v>
      </c>
      <c r="D73" s="3" t="s">
        <v>289</v>
      </c>
      <c r="E73" s="2" t="s">
        <v>380</v>
      </c>
      <c r="F73" s="2" t="s">
        <v>381</v>
      </c>
      <c r="G73" s="2" t="s">
        <v>201</v>
      </c>
      <c r="H73" s="2" t="s">
        <v>35</v>
      </c>
      <c r="I73" s="3" t="s">
        <v>36</v>
      </c>
      <c r="J73" s="3" t="s">
        <v>82</v>
      </c>
      <c r="K73" s="2" t="s">
        <v>72</v>
      </c>
      <c r="L73" s="2"/>
      <c r="M73" s="2" t="s">
        <v>39</v>
      </c>
      <c r="N73" s="3" t="s">
        <v>385</v>
      </c>
      <c r="O73" s="2" t="s">
        <v>247</v>
      </c>
      <c r="P73" s="2">
        <v>2026</v>
      </c>
      <c r="Q73" s="2">
        <v>4</v>
      </c>
      <c r="R73" s="2" t="s">
        <v>281</v>
      </c>
      <c r="S73" s="2" t="s">
        <v>294</v>
      </c>
      <c r="T73" s="4" t="s">
        <v>87</v>
      </c>
      <c r="U73" s="4" t="s">
        <v>47</v>
      </c>
      <c r="V73" s="4" t="s">
        <v>46</v>
      </c>
      <c r="W73" s="4" t="s">
        <v>46</v>
      </c>
      <c r="X73" s="4" t="s">
        <v>49</v>
      </c>
      <c r="Y73" s="4" t="s">
        <v>49</v>
      </c>
      <c r="Z73" s="4" t="s">
        <v>295</v>
      </c>
      <c r="AA73" s="4" t="s">
        <v>46</v>
      </c>
      <c r="AB73" s="5">
        <v>75</v>
      </c>
    </row>
    <row r="74" spans="1:28" ht="28.35" customHeight="1">
      <c r="A74" s="2" t="s">
        <v>28</v>
      </c>
      <c r="B74" s="2" t="s">
        <v>29</v>
      </c>
      <c r="C74" s="3" t="s">
        <v>352</v>
      </c>
      <c r="D74" s="3" t="s">
        <v>386</v>
      </c>
      <c r="E74" s="2" t="s">
        <v>387</v>
      </c>
      <c r="F74" s="2" t="s">
        <v>388</v>
      </c>
      <c r="G74" s="2" t="s">
        <v>34</v>
      </c>
      <c r="H74" s="2" t="s">
        <v>35</v>
      </c>
      <c r="I74" s="3" t="s">
        <v>36</v>
      </c>
      <c r="J74" s="3" t="s">
        <v>82</v>
      </c>
      <c r="K74" s="2" t="s">
        <v>38</v>
      </c>
      <c r="L74" s="2"/>
      <c r="M74" s="2" t="s">
        <v>39</v>
      </c>
      <c r="N74" s="3" t="s">
        <v>389</v>
      </c>
      <c r="O74" s="2" t="s">
        <v>219</v>
      </c>
      <c r="P74" s="2">
        <v>2026</v>
      </c>
      <c r="Q74" s="2">
        <v>3</v>
      </c>
      <c r="R74" s="2" t="s">
        <v>129</v>
      </c>
      <c r="S74" s="2" t="s">
        <v>86</v>
      </c>
      <c r="T74" s="4" t="s">
        <v>87</v>
      </c>
      <c r="U74" s="4" t="s">
        <v>60</v>
      </c>
      <c r="V74" s="4" t="s">
        <v>46</v>
      </c>
      <c r="W74" s="4" t="s">
        <v>47</v>
      </c>
      <c r="X74" s="4" t="s">
        <v>49</v>
      </c>
      <c r="Y74" s="4" t="s">
        <v>49</v>
      </c>
      <c r="Z74" s="4" t="s">
        <v>50</v>
      </c>
      <c r="AA74" s="4" t="s">
        <v>46</v>
      </c>
      <c r="AB74" s="5">
        <v>105</v>
      </c>
    </row>
    <row r="75" spans="1:28" ht="28.35" customHeight="1">
      <c r="A75" s="2" t="s">
        <v>28</v>
      </c>
      <c r="B75" s="2" t="s">
        <v>29</v>
      </c>
      <c r="C75" s="3" t="s">
        <v>352</v>
      </c>
      <c r="D75" s="3" t="s">
        <v>386</v>
      </c>
      <c r="E75" s="2" t="s">
        <v>387</v>
      </c>
      <c r="F75" s="2" t="s">
        <v>388</v>
      </c>
      <c r="G75" s="2" t="s">
        <v>34</v>
      </c>
      <c r="H75" s="2" t="s">
        <v>35</v>
      </c>
      <c r="I75" s="3" t="s">
        <v>36</v>
      </c>
      <c r="J75" s="3" t="s">
        <v>82</v>
      </c>
      <c r="K75" s="2" t="s">
        <v>38</v>
      </c>
      <c r="L75" s="2"/>
      <c r="M75" s="2" t="s">
        <v>39</v>
      </c>
      <c r="N75" s="3" t="s">
        <v>390</v>
      </c>
      <c r="O75" s="2" t="s">
        <v>74</v>
      </c>
      <c r="P75" s="2">
        <v>2026</v>
      </c>
      <c r="Q75" s="2">
        <v>6</v>
      </c>
      <c r="R75" s="2" t="s">
        <v>339</v>
      </c>
      <c r="S75" s="2" t="s">
        <v>125</v>
      </c>
      <c r="T75" s="4" t="s">
        <v>87</v>
      </c>
      <c r="U75" s="4" t="s">
        <v>47</v>
      </c>
      <c r="V75" s="4" t="s">
        <v>47</v>
      </c>
      <c r="W75" s="4" t="s">
        <v>49</v>
      </c>
      <c r="X75" s="4" t="s">
        <v>49</v>
      </c>
      <c r="Y75" s="4" t="s">
        <v>49</v>
      </c>
      <c r="Z75" s="4" t="s">
        <v>50</v>
      </c>
      <c r="AA75" s="4" t="s">
        <v>46</v>
      </c>
      <c r="AB75" s="5">
        <v>105</v>
      </c>
    </row>
    <row r="76" spans="1:28" ht="28.35" customHeight="1">
      <c r="A76" s="2" t="s">
        <v>28</v>
      </c>
      <c r="B76" s="2" t="s">
        <v>29</v>
      </c>
      <c r="C76" s="3" t="s">
        <v>352</v>
      </c>
      <c r="D76" s="3" t="s">
        <v>386</v>
      </c>
      <c r="E76" s="2" t="s">
        <v>387</v>
      </c>
      <c r="F76" s="2" t="s">
        <v>388</v>
      </c>
      <c r="G76" s="2" t="s">
        <v>34</v>
      </c>
      <c r="H76" s="2" t="s">
        <v>35</v>
      </c>
      <c r="I76" s="3" t="s">
        <v>36</v>
      </c>
      <c r="J76" s="3" t="s">
        <v>82</v>
      </c>
      <c r="K76" s="2" t="s">
        <v>38</v>
      </c>
      <c r="L76" s="2"/>
      <c r="M76" s="2" t="s">
        <v>39</v>
      </c>
      <c r="N76" s="3" t="s">
        <v>391</v>
      </c>
      <c r="O76" s="2" t="s">
        <v>74</v>
      </c>
      <c r="P76" s="2">
        <v>2026</v>
      </c>
      <c r="Q76" s="2">
        <v>6</v>
      </c>
      <c r="R76" s="2" t="s">
        <v>339</v>
      </c>
      <c r="S76" s="2" t="s">
        <v>392</v>
      </c>
      <c r="T76" s="4" t="s">
        <v>87</v>
      </c>
      <c r="U76" s="4" t="s">
        <v>109</v>
      </c>
      <c r="V76" s="4" t="s">
        <v>46</v>
      </c>
      <c r="W76" s="4" t="s">
        <v>60</v>
      </c>
      <c r="X76" s="4" t="s">
        <v>49</v>
      </c>
      <c r="Y76" s="4" t="s">
        <v>49</v>
      </c>
      <c r="Z76" s="4" t="s">
        <v>50</v>
      </c>
      <c r="AA76" s="4" t="s">
        <v>46</v>
      </c>
      <c r="AB76" s="5">
        <v>105</v>
      </c>
    </row>
    <row r="77" spans="1:28" ht="28.35" customHeight="1">
      <c r="A77" s="2" t="s">
        <v>28</v>
      </c>
      <c r="B77" s="2" t="s">
        <v>29</v>
      </c>
      <c r="C77" s="3" t="s">
        <v>190</v>
      </c>
      <c r="D77" s="3" t="s">
        <v>191</v>
      </c>
      <c r="E77" s="2" t="s">
        <v>393</v>
      </c>
      <c r="F77" s="2" t="s">
        <v>394</v>
      </c>
      <c r="G77" s="2" t="s">
        <v>34</v>
      </c>
      <c r="H77" s="2" t="s">
        <v>35</v>
      </c>
      <c r="I77" s="3" t="s">
        <v>36</v>
      </c>
      <c r="J77" s="3" t="s">
        <v>37</v>
      </c>
      <c r="K77" s="2" t="s">
        <v>38</v>
      </c>
      <c r="L77" s="2"/>
      <c r="M77" s="2" t="s">
        <v>39</v>
      </c>
      <c r="N77" s="3" t="s">
        <v>395</v>
      </c>
      <c r="O77" s="2" t="s">
        <v>129</v>
      </c>
      <c r="P77" s="2">
        <v>2026</v>
      </c>
      <c r="Q77" s="2">
        <v>6</v>
      </c>
      <c r="R77" s="2" t="s">
        <v>100</v>
      </c>
      <c r="S77" s="2" t="s">
        <v>396</v>
      </c>
      <c r="T77" s="4" t="s">
        <v>44</v>
      </c>
      <c r="U77" s="4" t="s">
        <v>77</v>
      </c>
      <c r="V77" s="4" t="s">
        <v>46</v>
      </c>
      <c r="W77" s="4" t="s">
        <v>46</v>
      </c>
      <c r="X77" s="4" t="s">
        <v>60</v>
      </c>
      <c r="Y77" s="4" t="s">
        <v>49</v>
      </c>
      <c r="Z77" s="4" t="s">
        <v>50</v>
      </c>
      <c r="AA77" s="4" t="s">
        <v>46</v>
      </c>
      <c r="AB77" s="5">
        <v>210</v>
      </c>
    </row>
    <row r="78" spans="1:28" ht="28.35" customHeight="1">
      <c r="A78" s="2" t="s">
        <v>28</v>
      </c>
      <c r="B78" s="2" t="s">
        <v>29</v>
      </c>
      <c r="C78" s="3" t="s">
        <v>322</v>
      </c>
      <c r="D78" s="3" t="s">
        <v>397</v>
      </c>
      <c r="E78" s="2" t="s">
        <v>398</v>
      </c>
      <c r="F78" s="2" t="s">
        <v>399</v>
      </c>
      <c r="G78" s="2" t="s">
        <v>201</v>
      </c>
      <c r="H78" s="2" t="s">
        <v>35</v>
      </c>
      <c r="I78" s="3" t="s">
        <v>36</v>
      </c>
      <c r="J78" s="3" t="s">
        <v>82</v>
      </c>
      <c r="K78" s="2" t="s">
        <v>72</v>
      </c>
      <c r="L78" s="2"/>
      <c r="M78" s="2" t="s">
        <v>39</v>
      </c>
      <c r="N78" s="3" t="s">
        <v>400</v>
      </c>
      <c r="O78" s="2" t="s">
        <v>337</v>
      </c>
      <c r="P78" s="2">
        <v>2026</v>
      </c>
      <c r="Q78" s="2">
        <v>3</v>
      </c>
      <c r="R78" s="2" t="s">
        <v>63</v>
      </c>
      <c r="S78" s="2" t="s">
        <v>401</v>
      </c>
      <c r="T78" s="4" t="s">
        <v>87</v>
      </c>
      <c r="U78" s="4" t="s">
        <v>47</v>
      </c>
      <c r="V78" s="4" t="s">
        <v>46</v>
      </c>
      <c r="W78" s="4" t="s">
        <v>46</v>
      </c>
      <c r="X78" s="4" t="s">
        <v>49</v>
      </c>
      <c r="Y78" s="4" t="s">
        <v>49</v>
      </c>
      <c r="Z78" s="4" t="s">
        <v>295</v>
      </c>
      <c r="AA78" s="4" t="s">
        <v>46</v>
      </c>
      <c r="AB78" s="5">
        <v>75</v>
      </c>
    </row>
    <row r="79" spans="1:28" ht="28.35" customHeight="1">
      <c r="A79" s="2" t="s">
        <v>28</v>
      </c>
      <c r="B79" s="2" t="s">
        <v>29</v>
      </c>
      <c r="C79" s="3" t="s">
        <v>190</v>
      </c>
      <c r="D79" s="3" t="s">
        <v>258</v>
      </c>
      <c r="E79" s="2" t="s">
        <v>402</v>
      </c>
      <c r="F79" s="2" t="s">
        <v>403</v>
      </c>
      <c r="G79" s="2" t="s">
        <v>404</v>
      </c>
      <c r="H79" s="2" t="s">
        <v>35</v>
      </c>
      <c r="I79" s="3" t="s">
        <v>36</v>
      </c>
      <c r="J79" s="3" t="s">
        <v>37</v>
      </c>
      <c r="K79" s="2" t="s">
        <v>38</v>
      </c>
      <c r="L79" s="2" t="s">
        <v>405</v>
      </c>
      <c r="M79" s="2" t="s">
        <v>39</v>
      </c>
      <c r="N79" s="3" t="s">
        <v>406</v>
      </c>
      <c r="O79" s="2" t="s">
        <v>407</v>
      </c>
      <c r="P79" s="2">
        <v>2026</v>
      </c>
      <c r="Q79" s="2">
        <v>3</v>
      </c>
      <c r="R79" s="2" t="s">
        <v>63</v>
      </c>
      <c r="S79" s="2" t="s">
        <v>265</v>
      </c>
      <c r="T79" s="4" t="s">
        <v>44</v>
      </c>
      <c r="U79" s="4" t="s">
        <v>256</v>
      </c>
      <c r="V79" s="4" t="s">
        <v>46</v>
      </c>
      <c r="W79" s="4" t="s">
        <v>121</v>
      </c>
      <c r="X79" s="4" t="s">
        <v>49</v>
      </c>
      <c r="Y79" s="4" t="s">
        <v>49</v>
      </c>
      <c r="Z79" s="4" t="s">
        <v>50</v>
      </c>
      <c r="AA79" s="4" t="s">
        <v>46</v>
      </c>
      <c r="AB79" s="5">
        <v>210</v>
      </c>
    </row>
    <row r="80" spans="1:28" ht="28.35" customHeight="1">
      <c r="A80" s="2" t="s">
        <v>28</v>
      </c>
      <c r="B80" s="2" t="s">
        <v>29</v>
      </c>
      <c r="C80" s="3" t="s">
        <v>68</v>
      </c>
      <c r="D80" s="3" t="s">
        <v>408</v>
      </c>
      <c r="E80" s="2" t="s">
        <v>409</v>
      </c>
      <c r="F80" s="2" t="s">
        <v>410</v>
      </c>
      <c r="G80" s="2" t="s">
        <v>34</v>
      </c>
      <c r="H80" s="2" t="s">
        <v>35</v>
      </c>
      <c r="I80" s="3" t="s">
        <v>36</v>
      </c>
      <c r="J80" s="3" t="s">
        <v>37</v>
      </c>
      <c r="K80" s="2" t="s">
        <v>38</v>
      </c>
      <c r="L80" s="2"/>
      <c r="M80" s="2" t="s">
        <v>39</v>
      </c>
      <c r="N80" s="3" t="s">
        <v>411</v>
      </c>
      <c r="O80" s="2" t="s">
        <v>412</v>
      </c>
      <c r="P80" s="2">
        <v>2026</v>
      </c>
      <c r="Q80" s="2">
        <v>5</v>
      </c>
      <c r="R80" s="2" t="s">
        <v>413</v>
      </c>
      <c r="S80" s="2" t="s">
        <v>414</v>
      </c>
      <c r="T80" s="4" t="s">
        <v>44</v>
      </c>
      <c r="U80" s="4" t="s">
        <v>77</v>
      </c>
      <c r="V80" s="4" t="s">
        <v>47</v>
      </c>
      <c r="W80" s="4" t="s">
        <v>49</v>
      </c>
      <c r="X80" s="4" t="s">
        <v>60</v>
      </c>
      <c r="Y80" s="4" t="s">
        <v>49</v>
      </c>
      <c r="Z80" s="4" t="s">
        <v>50</v>
      </c>
      <c r="AA80" s="4" t="s">
        <v>46</v>
      </c>
      <c r="AB80" s="5">
        <v>210</v>
      </c>
    </row>
    <row r="81" spans="1:28" ht="28.35" customHeight="1">
      <c r="A81" s="2" t="s">
        <v>28</v>
      </c>
      <c r="B81" s="2" t="s">
        <v>29</v>
      </c>
      <c r="C81" s="3" t="s">
        <v>68</v>
      </c>
      <c r="D81" s="3" t="s">
        <v>408</v>
      </c>
      <c r="E81" s="2" t="s">
        <v>409</v>
      </c>
      <c r="F81" s="2" t="s">
        <v>410</v>
      </c>
      <c r="G81" s="2" t="s">
        <v>34</v>
      </c>
      <c r="H81" s="2" t="s">
        <v>35</v>
      </c>
      <c r="I81" s="3" t="s">
        <v>36</v>
      </c>
      <c r="J81" s="3" t="s">
        <v>82</v>
      </c>
      <c r="K81" s="2" t="s">
        <v>38</v>
      </c>
      <c r="L81" s="2"/>
      <c r="M81" s="2" t="s">
        <v>39</v>
      </c>
      <c r="N81" s="3" t="s">
        <v>415</v>
      </c>
      <c r="O81" s="2" t="s">
        <v>150</v>
      </c>
      <c r="P81" s="2">
        <v>2026</v>
      </c>
      <c r="Q81" s="2">
        <v>5</v>
      </c>
      <c r="R81" s="2" t="s">
        <v>204</v>
      </c>
      <c r="S81" s="2" t="s">
        <v>416</v>
      </c>
      <c r="T81" s="4" t="s">
        <v>87</v>
      </c>
      <c r="U81" s="4" t="s">
        <v>77</v>
      </c>
      <c r="V81" s="4" t="s">
        <v>46</v>
      </c>
      <c r="W81" s="4" t="s">
        <v>49</v>
      </c>
      <c r="X81" s="4" t="s">
        <v>109</v>
      </c>
      <c r="Y81" s="4" t="s">
        <v>49</v>
      </c>
      <c r="Z81" s="4" t="s">
        <v>50</v>
      </c>
      <c r="AA81" s="4" t="s">
        <v>46</v>
      </c>
      <c r="AB81" s="5">
        <v>105</v>
      </c>
    </row>
    <row r="82" spans="1:28" ht="28.35" customHeight="1">
      <c r="A82" s="2" t="s">
        <v>28</v>
      </c>
      <c r="B82" s="2" t="s">
        <v>29</v>
      </c>
      <c r="C82" s="3" t="s">
        <v>68</v>
      </c>
      <c r="D82" s="3" t="s">
        <v>408</v>
      </c>
      <c r="E82" s="2" t="s">
        <v>409</v>
      </c>
      <c r="F82" s="2" t="s">
        <v>410</v>
      </c>
      <c r="G82" s="2" t="s">
        <v>34</v>
      </c>
      <c r="H82" s="2" t="s">
        <v>35</v>
      </c>
      <c r="I82" s="3" t="s">
        <v>36</v>
      </c>
      <c r="J82" s="3" t="s">
        <v>37</v>
      </c>
      <c r="K82" s="2" t="s">
        <v>38</v>
      </c>
      <c r="L82" s="2" t="s">
        <v>417</v>
      </c>
      <c r="M82" s="2" t="s">
        <v>39</v>
      </c>
      <c r="N82" s="3" t="s">
        <v>418</v>
      </c>
      <c r="O82" s="2" t="s">
        <v>419</v>
      </c>
      <c r="P82" s="2">
        <v>2026</v>
      </c>
      <c r="Q82" s="2">
        <v>4</v>
      </c>
      <c r="R82" s="2" t="s">
        <v>420</v>
      </c>
      <c r="S82" s="2" t="s">
        <v>421</v>
      </c>
      <c r="T82" s="4" t="s">
        <v>44</v>
      </c>
      <c r="U82" s="4" t="s">
        <v>47</v>
      </c>
      <c r="V82" s="4" t="s">
        <v>46</v>
      </c>
      <c r="W82" s="4" t="s">
        <v>49</v>
      </c>
      <c r="X82" s="4" t="s">
        <v>46</v>
      </c>
      <c r="Y82" s="4" t="s">
        <v>49</v>
      </c>
      <c r="Z82" s="4" t="s">
        <v>50</v>
      </c>
      <c r="AA82" s="4" t="s">
        <v>46</v>
      </c>
      <c r="AB82" s="5">
        <v>210</v>
      </c>
    </row>
    <row r="83" spans="1:28" ht="28.35" customHeight="1">
      <c r="A83" s="2" t="s">
        <v>28</v>
      </c>
      <c r="B83" s="2" t="s">
        <v>29</v>
      </c>
      <c r="C83" s="3" t="s">
        <v>102</v>
      </c>
      <c r="D83" s="3" t="s">
        <v>103</v>
      </c>
      <c r="E83" s="2" t="s">
        <v>422</v>
      </c>
      <c r="F83" s="2" t="s">
        <v>423</v>
      </c>
      <c r="G83" s="2" t="s">
        <v>34</v>
      </c>
      <c r="H83" s="2" t="s">
        <v>35</v>
      </c>
      <c r="I83" s="3" t="s">
        <v>36</v>
      </c>
      <c r="J83" s="3" t="s">
        <v>82</v>
      </c>
      <c r="K83" s="2" t="s">
        <v>38</v>
      </c>
      <c r="L83" s="2"/>
      <c r="M83" s="2" t="s">
        <v>39</v>
      </c>
      <c r="N83" s="3" t="s">
        <v>424</v>
      </c>
      <c r="O83" s="2" t="s">
        <v>96</v>
      </c>
      <c r="P83" s="2">
        <v>2026</v>
      </c>
      <c r="Q83" s="2">
        <v>4</v>
      </c>
      <c r="R83" s="2" t="s">
        <v>305</v>
      </c>
      <c r="S83" s="2" t="s">
        <v>425</v>
      </c>
      <c r="T83" s="4" t="s">
        <v>87</v>
      </c>
      <c r="U83" s="4" t="s">
        <v>46</v>
      </c>
      <c r="V83" s="4" t="s">
        <v>46</v>
      </c>
      <c r="W83" s="4" t="s">
        <v>49</v>
      </c>
      <c r="X83" s="4" t="s">
        <v>49</v>
      </c>
      <c r="Y83" s="4" t="s">
        <v>49</v>
      </c>
      <c r="Z83" s="4" t="s">
        <v>98</v>
      </c>
      <c r="AA83" s="4" t="s">
        <v>46</v>
      </c>
      <c r="AB83" s="5">
        <v>150</v>
      </c>
    </row>
    <row r="84" spans="1:28" ht="28.35" customHeight="1">
      <c r="A84" s="2" t="s">
        <v>28</v>
      </c>
      <c r="B84" s="2" t="s">
        <v>29</v>
      </c>
      <c r="C84" s="3" t="s">
        <v>102</v>
      </c>
      <c r="D84" s="3" t="s">
        <v>103</v>
      </c>
      <c r="E84" s="2" t="s">
        <v>426</v>
      </c>
      <c r="F84" s="2" t="s">
        <v>427</v>
      </c>
      <c r="G84" s="2" t="s">
        <v>201</v>
      </c>
      <c r="H84" s="2" t="s">
        <v>35</v>
      </c>
      <c r="I84" s="3" t="s">
        <v>36</v>
      </c>
      <c r="J84" s="3" t="s">
        <v>82</v>
      </c>
      <c r="K84" s="2" t="s">
        <v>38</v>
      </c>
      <c r="L84" s="2"/>
      <c r="M84" s="2" t="s">
        <v>39</v>
      </c>
      <c r="N84" s="3" t="s">
        <v>428</v>
      </c>
      <c r="O84" s="2" t="s">
        <v>74</v>
      </c>
      <c r="P84" s="2">
        <v>2026</v>
      </c>
      <c r="Q84" s="2">
        <v>6</v>
      </c>
      <c r="R84" s="2" t="s">
        <v>429</v>
      </c>
      <c r="S84" s="2" t="s">
        <v>220</v>
      </c>
      <c r="T84" s="4" t="s">
        <v>87</v>
      </c>
      <c r="U84" s="4" t="s">
        <v>46</v>
      </c>
      <c r="V84" s="4" t="s">
        <v>46</v>
      </c>
      <c r="W84" s="4" t="s">
        <v>49</v>
      </c>
      <c r="X84" s="4" t="s">
        <v>49</v>
      </c>
      <c r="Y84" s="4" t="s">
        <v>49</v>
      </c>
      <c r="Z84" s="4" t="s">
        <v>98</v>
      </c>
      <c r="AA84" s="4" t="s">
        <v>46</v>
      </c>
      <c r="AB84" s="5">
        <v>150</v>
      </c>
    </row>
    <row r="85" spans="1:28" ht="28.35" customHeight="1">
      <c r="A85" s="2" t="s">
        <v>28</v>
      </c>
      <c r="B85" s="2" t="s">
        <v>29</v>
      </c>
      <c r="C85" s="3" t="s">
        <v>206</v>
      </c>
      <c r="D85" s="3" t="s">
        <v>430</v>
      </c>
      <c r="E85" s="2" t="s">
        <v>431</v>
      </c>
      <c r="F85" s="2" t="s">
        <v>432</v>
      </c>
      <c r="G85" s="2" t="s">
        <v>34</v>
      </c>
      <c r="H85" s="2" t="s">
        <v>35</v>
      </c>
      <c r="I85" s="3" t="s">
        <v>36</v>
      </c>
      <c r="J85" s="3" t="s">
        <v>82</v>
      </c>
      <c r="K85" s="2" t="s">
        <v>38</v>
      </c>
      <c r="L85" s="2"/>
      <c r="M85" s="2" t="s">
        <v>39</v>
      </c>
      <c r="N85" s="3" t="s">
        <v>433</v>
      </c>
      <c r="O85" s="2" t="s">
        <v>96</v>
      </c>
      <c r="P85" s="2">
        <v>2026</v>
      </c>
      <c r="Q85" s="2">
        <v>4</v>
      </c>
      <c r="R85" s="2" t="s">
        <v>429</v>
      </c>
      <c r="S85" s="2" t="s">
        <v>235</v>
      </c>
      <c r="T85" s="4" t="s">
        <v>87</v>
      </c>
      <c r="U85" s="4" t="s">
        <v>47</v>
      </c>
      <c r="V85" s="4" t="s">
        <v>47</v>
      </c>
      <c r="W85" s="4" t="s">
        <v>49</v>
      </c>
      <c r="X85" s="4" t="s">
        <v>49</v>
      </c>
      <c r="Y85" s="4" t="s">
        <v>49</v>
      </c>
      <c r="Z85" s="4" t="s">
        <v>50</v>
      </c>
      <c r="AA85" s="4" t="s">
        <v>46</v>
      </c>
      <c r="AB85" s="5">
        <v>105</v>
      </c>
    </row>
    <row r="86" spans="1:28" ht="28.35" customHeight="1">
      <c r="A86" s="2" t="s">
        <v>28</v>
      </c>
      <c r="B86" s="2" t="s">
        <v>29</v>
      </c>
      <c r="C86" s="3" t="s">
        <v>322</v>
      </c>
      <c r="D86" s="3" t="s">
        <v>434</v>
      </c>
      <c r="E86" s="2" t="s">
        <v>435</v>
      </c>
      <c r="F86" s="2" t="s">
        <v>436</v>
      </c>
      <c r="G86" s="2" t="s">
        <v>34</v>
      </c>
      <c r="H86" s="2" t="s">
        <v>35</v>
      </c>
      <c r="I86" s="3" t="s">
        <v>36</v>
      </c>
      <c r="J86" s="3" t="s">
        <v>82</v>
      </c>
      <c r="K86" s="2" t="s">
        <v>38</v>
      </c>
      <c r="L86" s="2"/>
      <c r="M86" s="2" t="s">
        <v>39</v>
      </c>
      <c r="N86" s="3" t="s">
        <v>437</v>
      </c>
      <c r="O86" s="2" t="s">
        <v>129</v>
      </c>
      <c r="P86" s="2">
        <v>2026</v>
      </c>
      <c r="Q86" s="2">
        <v>6</v>
      </c>
      <c r="R86" s="2" t="s">
        <v>438</v>
      </c>
      <c r="S86" s="2" t="s">
        <v>439</v>
      </c>
      <c r="T86" s="4" t="s">
        <v>87</v>
      </c>
      <c r="U86" s="4" t="s">
        <v>47</v>
      </c>
      <c r="V86" s="4" t="s">
        <v>47</v>
      </c>
      <c r="W86" s="4" t="s">
        <v>49</v>
      </c>
      <c r="X86" s="4" t="s">
        <v>49</v>
      </c>
      <c r="Y86" s="4" t="s">
        <v>49</v>
      </c>
      <c r="Z86" s="4" t="s">
        <v>50</v>
      </c>
      <c r="AA86" s="4" t="s">
        <v>46</v>
      </c>
      <c r="AB86" s="5">
        <v>105</v>
      </c>
    </row>
    <row r="87" spans="1:28" ht="28.35" customHeight="1">
      <c r="A87" s="2" t="s">
        <v>28</v>
      </c>
      <c r="B87" s="2" t="s">
        <v>29</v>
      </c>
      <c r="C87" s="3" t="s">
        <v>51</v>
      </c>
      <c r="D87" s="3" t="s">
        <v>52</v>
      </c>
      <c r="E87" s="2" t="s">
        <v>440</v>
      </c>
      <c r="F87" s="2" t="s">
        <v>441</v>
      </c>
      <c r="G87" s="2" t="s">
        <v>442</v>
      </c>
      <c r="H87" s="2" t="s">
        <v>35</v>
      </c>
      <c r="I87" s="3" t="s">
        <v>36</v>
      </c>
      <c r="J87" s="3" t="s">
        <v>82</v>
      </c>
      <c r="K87" s="2" t="s">
        <v>38</v>
      </c>
      <c r="L87" s="2" t="s">
        <v>443</v>
      </c>
      <c r="M87" s="2" t="s">
        <v>39</v>
      </c>
      <c r="N87" s="3" t="s">
        <v>444</v>
      </c>
      <c r="O87" s="2" t="s">
        <v>74</v>
      </c>
      <c r="P87" s="2">
        <v>2026</v>
      </c>
      <c r="Q87" s="2">
        <v>6</v>
      </c>
      <c r="R87" s="2" t="s">
        <v>445</v>
      </c>
      <c r="S87" s="2" t="s">
        <v>446</v>
      </c>
      <c r="T87" s="4" t="s">
        <v>87</v>
      </c>
      <c r="U87" s="4" t="s">
        <v>60</v>
      </c>
      <c r="V87" s="4" t="s">
        <v>47</v>
      </c>
      <c r="W87" s="4" t="s">
        <v>46</v>
      </c>
      <c r="X87" s="4" t="s">
        <v>49</v>
      </c>
      <c r="Y87" s="4" t="s">
        <v>49</v>
      </c>
      <c r="Z87" s="4" t="s">
        <v>50</v>
      </c>
      <c r="AA87" s="4" t="s">
        <v>46</v>
      </c>
      <c r="AB87" s="5">
        <v>105</v>
      </c>
    </row>
    <row r="88" spans="1:28" ht="28.35" customHeight="1">
      <c r="A88" s="2" t="s">
        <v>28</v>
      </c>
      <c r="B88" s="2" t="s">
        <v>29</v>
      </c>
      <c r="C88" s="3" t="s">
        <v>162</v>
      </c>
      <c r="D88" s="3" t="s">
        <v>447</v>
      </c>
      <c r="E88" s="2" t="s">
        <v>448</v>
      </c>
      <c r="F88" s="2" t="s">
        <v>449</v>
      </c>
      <c r="G88" s="2" t="s">
        <v>201</v>
      </c>
      <c r="H88" s="2"/>
      <c r="I88" s="3" t="s">
        <v>450</v>
      </c>
      <c r="J88" s="3"/>
      <c r="K88" s="2"/>
      <c r="L88" s="2" t="s">
        <v>167</v>
      </c>
      <c r="M88" s="2" t="s">
        <v>39</v>
      </c>
      <c r="N88" s="3" t="s">
        <v>451</v>
      </c>
      <c r="O88" s="2" t="s">
        <v>412</v>
      </c>
      <c r="P88" s="2">
        <v>2026</v>
      </c>
      <c r="Q88" s="2">
        <v>5</v>
      </c>
      <c r="R88" s="2" t="s">
        <v>119</v>
      </c>
      <c r="S88" s="2"/>
      <c r="T88" s="4" t="s">
        <v>120</v>
      </c>
      <c r="U88" s="4" t="s">
        <v>46</v>
      </c>
      <c r="V88" s="4" t="s">
        <v>46</v>
      </c>
      <c r="W88" s="4" t="s">
        <v>49</v>
      </c>
      <c r="X88" s="4" t="s">
        <v>49</v>
      </c>
      <c r="Y88" s="4" t="s">
        <v>49</v>
      </c>
      <c r="Z88" s="4" t="s">
        <v>98</v>
      </c>
      <c r="AA88" s="4" t="s">
        <v>46</v>
      </c>
      <c r="AB88" s="5">
        <v>100</v>
      </c>
    </row>
    <row r="89" spans="1:28" ht="28.35" customHeight="1">
      <c r="A89" s="2" t="s">
        <v>28</v>
      </c>
      <c r="B89" s="2" t="s">
        <v>29</v>
      </c>
      <c r="C89" s="3" t="s">
        <v>206</v>
      </c>
      <c r="D89" s="3" t="s">
        <v>270</v>
      </c>
      <c r="E89" s="2" t="s">
        <v>452</v>
      </c>
      <c r="F89" s="2" t="s">
        <v>453</v>
      </c>
      <c r="G89" s="2" t="s">
        <v>34</v>
      </c>
      <c r="H89" s="2" t="s">
        <v>35</v>
      </c>
      <c r="I89" s="3" t="s">
        <v>36</v>
      </c>
      <c r="J89" s="3" t="s">
        <v>82</v>
      </c>
      <c r="K89" s="2" t="s">
        <v>38</v>
      </c>
      <c r="L89" s="2"/>
      <c r="M89" s="2" t="s">
        <v>39</v>
      </c>
      <c r="N89" s="3" t="s">
        <v>454</v>
      </c>
      <c r="O89" s="2" t="s">
        <v>455</v>
      </c>
      <c r="P89" s="2">
        <v>2026</v>
      </c>
      <c r="Q89" s="2">
        <v>5</v>
      </c>
      <c r="R89" s="2" t="s">
        <v>302</v>
      </c>
      <c r="S89" s="2" t="s">
        <v>456</v>
      </c>
      <c r="T89" s="4" t="s">
        <v>87</v>
      </c>
      <c r="U89" s="4" t="s">
        <v>46</v>
      </c>
      <c r="V89" s="4" t="s">
        <v>46</v>
      </c>
      <c r="W89" s="4" t="s">
        <v>49</v>
      </c>
      <c r="X89" s="4" t="s">
        <v>49</v>
      </c>
      <c r="Y89" s="4" t="s">
        <v>49</v>
      </c>
      <c r="Z89" s="4" t="s">
        <v>98</v>
      </c>
      <c r="AA89" s="4" t="s">
        <v>46</v>
      </c>
      <c r="AB89" s="5">
        <v>150</v>
      </c>
    </row>
    <row r="90" spans="1:28" ht="28.35" customHeight="1">
      <c r="A90" s="2" t="s">
        <v>28</v>
      </c>
      <c r="B90" s="2" t="s">
        <v>29</v>
      </c>
      <c r="C90" s="3" t="s">
        <v>206</v>
      </c>
      <c r="D90" s="3" t="s">
        <v>270</v>
      </c>
      <c r="E90" s="2" t="s">
        <v>452</v>
      </c>
      <c r="F90" s="2" t="s">
        <v>453</v>
      </c>
      <c r="G90" s="2" t="s">
        <v>34</v>
      </c>
      <c r="H90" s="2" t="s">
        <v>35</v>
      </c>
      <c r="I90" s="3" t="s">
        <v>36</v>
      </c>
      <c r="J90" s="3" t="s">
        <v>82</v>
      </c>
      <c r="K90" s="2" t="s">
        <v>72</v>
      </c>
      <c r="L90" s="2"/>
      <c r="M90" s="2" t="s">
        <v>39</v>
      </c>
      <c r="N90" s="3" t="s">
        <v>457</v>
      </c>
      <c r="O90" s="2" t="s">
        <v>128</v>
      </c>
      <c r="P90" s="2">
        <v>2026</v>
      </c>
      <c r="Q90" s="2">
        <v>5</v>
      </c>
      <c r="R90" s="2" t="s">
        <v>302</v>
      </c>
      <c r="S90" s="2" t="s">
        <v>303</v>
      </c>
      <c r="T90" s="4" t="s">
        <v>87</v>
      </c>
      <c r="U90" s="4" t="s">
        <v>60</v>
      </c>
      <c r="V90" s="4" t="s">
        <v>47</v>
      </c>
      <c r="W90" s="4" t="s">
        <v>46</v>
      </c>
      <c r="X90" s="4" t="s">
        <v>49</v>
      </c>
      <c r="Y90" s="4" t="s">
        <v>49</v>
      </c>
      <c r="Z90" s="4" t="s">
        <v>78</v>
      </c>
      <c r="AA90" s="4" t="s">
        <v>46</v>
      </c>
      <c r="AB90" s="5">
        <v>50</v>
      </c>
    </row>
    <row r="91" spans="1:28" ht="28.35" customHeight="1">
      <c r="A91" s="2" t="s">
        <v>28</v>
      </c>
      <c r="B91" s="2" t="s">
        <v>29</v>
      </c>
      <c r="C91" s="3" t="s">
        <v>206</v>
      </c>
      <c r="D91" s="3" t="s">
        <v>270</v>
      </c>
      <c r="E91" s="2" t="s">
        <v>452</v>
      </c>
      <c r="F91" s="2" t="s">
        <v>453</v>
      </c>
      <c r="G91" s="2" t="s">
        <v>34</v>
      </c>
      <c r="H91" s="2" t="s">
        <v>35</v>
      </c>
      <c r="I91" s="3" t="s">
        <v>36</v>
      </c>
      <c r="J91" s="3" t="s">
        <v>82</v>
      </c>
      <c r="K91" s="2" t="s">
        <v>38</v>
      </c>
      <c r="L91" s="2"/>
      <c r="M91" s="2" t="s">
        <v>39</v>
      </c>
      <c r="N91" s="3" t="s">
        <v>458</v>
      </c>
      <c r="O91" s="2" t="s">
        <v>455</v>
      </c>
      <c r="P91" s="2">
        <v>2026</v>
      </c>
      <c r="Q91" s="2">
        <v>5</v>
      </c>
      <c r="R91" s="2" t="s">
        <v>302</v>
      </c>
      <c r="S91" s="2" t="s">
        <v>456</v>
      </c>
      <c r="T91" s="4" t="s">
        <v>87</v>
      </c>
      <c r="U91" s="4" t="s">
        <v>47</v>
      </c>
      <c r="V91" s="4" t="s">
        <v>47</v>
      </c>
      <c r="W91" s="4" t="s">
        <v>49</v>
      </c>
      <c r="X91" s="4" t="s">
        <v>49</v>
      </c>
      <c r="Y91" s="4" t="s">
        <v>49</v>
      </c>
      <c r="Z91" s="4" t="s">
        <v>50</v>
      </c>
      <c r="AA91" s="4" t="s">
        <v>46</v>
      </c>
      <c r="AB91" s="5">
        <v>105</v>
      </c>
    </row>
    <row r="92" spans="1:28" ht="28.35" customHeight="1">
      <c r="A92" s="2" t="s">
        <v>28</v>
      </c>
      <c r="B92" s="2" t="s">
        <v>29</v>
      </c>
      <c r="C92" s="3" t="s">
        <v>68</v>
      </c>
      <c r="D92" s="3" t="s">
        <v>146</v>
      </c>
      <c r="E92" s="2" t="s">
        <v>459</v>
      </c>
      <c r="F92" s="2" t="s">
        <v>460</v>
      </c>
      <c r="G92" s="2" t="s">
        <v>34</v>
      </c>
      <c r="H92" s="2" t="s">
        <v>35</v>
      </c>
      <c r="I92" s="3" t="s">
        <v>36</v>
      </c>
      <c r="J92" s="3" t="s">
        <v>37</v>
      </c>
      <c r="K92" s="2" t="s">
        <v>38</v>
      </c>
      <c r="L92" s="2"/>
      <c r="M92" s="2" t="s">
        <v>39</v>
      </c>
      <c r="N92" s="3" t="s">
        <v>461</v>
      </c>
      <c r="O92" s="2" t="s">
        <v>462</v>
      </c>
      <c r="P92" s="2">
        <v>2026</v>
      </c>
      <c r="Q92" s="2">
        <v>6</v>
      </c>
      <c r="R92" s="2" t="s">
        <v>188</v>
      </c>
      <c r="S92" s="2" t="s">
        <v>463</v>
      </c>
      <c r="T92" s="4" t="s">
        <v>44</v>
      </c>
      <c r="U92" s="4" t="s">
        <v>60</v>
      </c>
      <c r="V92" s="4" t="s">
        <v>47</v>
      </c>
      <c r="W92" s="4" t="s">
        <v>46</v>
      </c>
      <c r="X92" s="4" t="s">
        <v>49</v>
      </c>
      <c r="Y92" s="4" t="s">
        <v>49</v>
      </c>
      <c r="Z92" s="4" t="s">
        <v>50</v>
      </c>
      <c r="AA92" s="4" t="s">
        <v>46</v>
      </c>
      <c r="AB92" s="5">
        <v>210</v>
      </c>
    </row>
    <row r="93" spans="1:28" ht="28.35" customHeight="1">
      <c r="A93" s="2" t="s">
        <v>28</v>
      </c>
      <c r="B93" s="2" t="s">
        <v>29</v>
      </c>
      <c r="C93" s="3" t="s">
        <v>206</v>
      </c>
      <c r="D93" s="3" t="s">
        <v>464</v>
      </c>
      <c r="E93" s="2" t="s">
        <v>465</v>
      </c>
      <c r="F93" s="2" t="s">
        <v>466</v>
      </c>
      <c r="G93" s="2" t="s">
        <v>34</v>
      </c>
      <c r="H93" s="2" t="s">
        <v>35</v>
      </c>
      <c r="I93" s="3" t="s">
        <v>36</v>
      </c>
      <c r="J93" s="3" t="s">
        <v>82</v>
      </c>
      <c r="K93" s="2" t="s">
        <v>38</v>
      </c>
      <c r="L93" s="2"/>
      <c r="M93" s="2" t="s">
        <v>39</v>
      </c>
      <c r="N93" s="3" t="s">
        <v>467</v>
      </c>
      <c r="O93" s="2" t="s">
        <v>337</v>
      </c>
      <c r="P93" s="2">
        <v>2026</v>
      </c>
      <c r="Q93" s="2">
        <v>3</v>
      </c>
      <c r="R93" s="2" t="s">
        <v>468</v>
      </c>
      <c r="S93" s="2" t="s">
        <v>189</v>
      </c>
      <c r="T93" s="4" t="s">
        <v>87</v>
      </c>
      <c r="U93" s="4" t="s">
        <v>46</v>
      </c>
      <c r="V93" s="4" t="s">
        <v>46</v>
      </c>
      <c r="W93" s="4" t="s">
        <v>49</v>
      </c>
      <c r="X93" s="4" t="s">
        <v>49</v>
      </c>
      <c r="Y93" s="4" t="s">
        <v>49</v>
      </c>
      <c r="Z93" s="4" t="s">
        <v>98</v>
      </c>
      <c r="AA93" s="4" t="s">
        <v>46</v>
      </c>
      <c r="AB93" s="5">
        <v>150</v>
      </c>
    </row>
    <row r="94" spans="1:28" ht="28.35" customHeight="1">
      <c r="A94" s="2" t="s">
        <v>28</v>
      </c>
      <c r="B94" s="2" t="s">
        <v>29</v>
      </c>
      <c r="C94" s="3" t="s">
        <v>212</v>
      </c>
      <c r="D94" s="3" t="s">
        <v>213</v>
      </c>
      <c r="E94" s="2" t="s">
        <v>469</v>
      </c>
      <c r="F94" s="2" t="s">
        <v>470</v>
      </c>
      <c r="G94" s="2" t="s">
        <v>34</v>
      </c>
      <c r="H94" s="2" t="s">
        <v>35</v>
      </c>
      <c r="I94" s="3" t="s">
        <v>36</v>
      </c>
      <c r="J94" s="3" t="s">
        <v>82</v>
      </c>
      <c r="K94" s="2" t="s">
        <v>38</v>
      </c>
      <c r="L94" s="2"/>
      <c r="M94" s="2" t="s">
        <v>39</v>
      </c>
      <c r="N94" s="3" t="s">
        <v>471</v>
      </c>
      <c r="O94" s="2" t="s">
        <v>96</v>
      </c>
      <c r="P94" s="2">
        <v>2026</v>
      </c>
      <c r="Q94" s="2">
        <v>4</v>
      </c>
      <c r="R94" s="2" t="s">
        <v>129</v>
      </c>
      <c r="S94" s="2" t="s">
        <v>145</v>
      </c>
      <c r="T94" s="4" t="s">
        <v>87</v>
      </c>
      <c r="U94" s="4" t="s">
        <v>47</v>
      </c>
      <c r="V94" s="4" t="s">
        <v>46</v>
      </c>
      <c r="W94" s="4" t="s">
        <v>46</v>
      </c>
      <c r="X94" s="4" t="s">
        <v>49</v>
      </c>
      <c r="Y94" s="4" t="s">
        <v>49</v>
      </c>
      <c r="Z94" s="4" t="s">
        <v>50</v>
      </c>
      <c r="AA94" s="4" t="s">
        <v>46</v>
      </c>
      <c r="AB94" s="5">
        <v>105</v>
      </c>
    </row>
    <row r="95" spans="1:28" ht="28.35" customHeight="1">
      <c r="A95" s="2" t="s">
        <v>28</v>
      </c>
      <c r="B95" s="2" t="s">
        <v>29</v>
      </c>
      <c r="C95" s="3" t="s">
        <v>212</v>
      </c>
      <c r="D95" s="3" t="s">
        <v>213</v>
      </c>
      <c r="E95" s="2" t="s">
        <v>469</v>
      </c>
      <c r="F95" s="2" t="s">
        <v>470</v>
      </c>
      <c r="G95" s="2" t="s">
        <v>34</v>
      </c>
      <c r="H95" s="2" t="s">
        <v>35</v>
      </c>
      <c r="I95" s="3" t="s">
        <v>36</v>
      </c>
      <c r="J95" s="3" t="s">
        <v>82</v>
      </c>
      <c r="K95" s="2" t="s">
        <v>38</v>
      </c>
      <c r="L95" s="2"/>
      <c r="M95" s="2" t="s">
        <v>39</v>
      </c>
      <c r="N95" s="3" t="s">
        <v>472</v>
      </c>
      <c r="O95" s="2" t="s">
        <v>219</v>
      </c>
      <c r="P95" s="2">
        <v>2026</v>
      </c>
      <c r="Q95" s="2">
        <v>3</v>
      </c>
      <c r="R95" s="2" t="s">
        <v>129</v>
      </c>
      <c r="S95" s="2" t="s">
        <v>473</v>
      </c>
      <c r="T95" s="4" t="s">
        <v>87</v>
      </c>
      <c r="U95" s="4" t="s">
        <v>47</v>
      </c>
      <c r="V95" s="4" t="s">
        <v>46</v>
      </c>
      <c r="W95" s="4" t="s">
        <v>46</v>
      </c>
      <c r="X95" s="4" t="s">
        <v>49</v>
      </c>
      <c r="Y95" s="4" t="s">
        <v>49</v>
      </c>
      <c r="Z95" s="4" t="s">
        <v>50</v>
      </c>
      <c r="AA95" s="4" t="s">
        <v>46</v>
      </c>
      <c r="AB95" s="5">
        <v>105</v>
      </c>
    </row>
    <row r="96" spans="1:28" ht="28.35" customHeight="1">
      <c r="A96" s="2" t="s">
        <v>28</v>
      </c>
      <c r="B96" s="2" t="s">
        <v>29</v>
      </c>
      <c r="C96" s="3" t="s">
        <v>138</v>
      </c>
      <c r="D96" s="3" t="s">
        <v>474</v>
      </c>
      <c r="E96" s="2" t="s">
        <v>475</v>
      </c>
      <c r="F96" s="2" t="s">
        <v>476</v>
      </c>
      <c r="G96" s="2" t="s">
        <v>34</v>
      </c>
      <c r="H96" s="2" t="s">
        <v>35</v>
      </c>
      <c r="I96" s="3" t="s">
        <v>36</v>
      </c>
      <c r="J96" s="3" t="s">
        <v>131</v>
      </c>
      <c r="K96" s="2" t="s">
        <v>38</v>
      </c>
      <c r="L96" s="2"/>
      <c r="M96" s="2" t="s">
        <v>39</v>
      </c>
      <c r="N96" s="3" t="s">
        <v>477</v>
      </c>
      <c r="O96" s="2" t="s">
        <v>74</v>
      </c>
      <c r="P96" s="2">
        <v>2026</v>
      </c>
      <c r="Q96" s="2">
        <v>6</v>
      </c>
      <c r="R96" s="2" t="s">
        <v>429</v>
      </c>
      <c r="S96" s="2" t="s">
        <v>478</v>
      </c>
      <c r="T96" s="4" t="s">
        <v>134</v>
      </c>
      <c r="U96" s="4" t="s">
        <v>46</v>
      </c>
      <c r="V96" s="4" t="s">
        <v>46</v>
      </c>
      <c r="W96" s="4" t="s">
        <v>49</v>
      </c>
      <c r="X96" s="4" t="s">
        <v>49</v>
      </c>
      <c r="Y96" s="4" t="s">
        <v>49</v>
      </c>
      <c r="Z96" s="4" t="s">
        <v>98</v>
      </c>
      <c r="AA96" s="4" t="s">
        <v>46</v>
      </c>
      <c r="AB96" s="5">
        <v>105</v>
      </c>
    </row>
    <row r="97" spans="1:28" ht="28.35" customHeight="1">
      <c r="A97" s="2" t="s">
        <v>28</v>
      </c>
      <c r="B97" s="2" t="s">
        <v>29</v>
      </c>
      <c r="C97" s="3" t="s">
        <v>138</v>
      </c>
      <c r="D97" s="3" t="s">
        <v>474</v>
      </c>
      <c r="E97" s="2" t="s">
        <v>475</v>
      </c>
      <c r="F97" s="2" t="s">
        <v>476</v>
      </c>
      <c r="G97" s="2" t="s">
        <v>34</v>
      </c>
      <c r="H97" s="2" t="s">
        <v>35</v>
      </c>
      <c r="I97" s="3" t="s">
        <v>36</v>
      </c>
      <c r="J97" s="3" t="s">
        <v>82</v>
      </c>
      <c r="K97" s="2" t="s">
        <v>38</v>
      </c>
      <c r="L97" s="2"/>
      <c r="M97" s="2" t="s">
        <v>39</v>
      </c>
      <c r="N97" s="3" t="s">
        <v>479</v>
      </c>
      <c r="O97" s="2" t="s">
        <v>96</v>
      </c>
      <c r="P97" s="2">
        <v>2026</v>
      </c>
      <c r="Q97" s="2">
        <v>4</v>
      </c>
      <c r="R97" s="2" t="s">
        <v>129</v>
      </c>
      <c r="S97" s="2" t="s">
        <v>220</v>
      </c>
      <c r="T97" s="4" t="s">
        <v>87</v>
      </c>
      <c r="U97" s="4" t="s">
        <v>47</v>
      </c>
      <c r="V97" s="4" t="s">
        <v>46</v>
      </c>
      <c r="W97" s="4" t="s">
        <v>46</v>
      </c>
      <c r="X97" s="4" t="s">
        <v>49</v>
      </c>
      <c r="Y97" s="4" t="s">
        <v>49</v>
      </c>
      <c r="Z97" s="4" t="s">
        <v>50</v>
      </c>
      <c r="AA97" s="4" t="s">
        <v>46</v>
      </c>
      <c r="AB97" s="5">
        <v>105</v>
      </c>
    </row>
    <row r="98" spans="1:28" ht="28.35" customHeight="1">
      <c r="A98" s="2" t="s">
        <v>28</v>
      </c>
      <c r="B98" s="2" t="s">
        <v>29</v>
      </c>
      <c r="C98" s="3" t="s">
        <v>138</v>
      </c>
      <c r="D98" s="3" t="s">
        <v>307</v>
      </c>
      <c r="E98" s="2" t="s">
        <v>480</v>
      </c>
      <c r="F98" s="2" t="s">
        <v>481</v>
      </c>
      <c r="G98" s="2" t="s">
        <v>34</v>
      </c>
      <c r="H98" s="2" t="s">
        <v>35</v>
      </c>
      <c r="I98" s="3" t="s">
        <v>36</v>
      </c>
      <c r="J98" s="3" t="s">
        <v>82</v>
      </c>
      <c r="K98" s="2" t="s">
        <v>38</v>
      </c>
      <c r="L98" s="2"/>
      <c r="M98" s="2" t="s">
        <v>39</v>
      </c>
      <c r="N98" s="3" t="s">
        <v>482</v>
      </c>
      <c r="O98" s="2" t="s">
        <v>483</v>
      </c>
      <c r="P98" s="2">
        <v>2026</v>
      </c>
      <c r="Q98" s="2">
        <v>6</v>
      </c>
      <c r="R98" s="2" t="s">
        <v>229</v>
      </c>
      <c r="S98" s="2" t="s">
        <v>262</v>
      </c>
      <c r="T98" s="4" t="s">
        <v>87</v>
      </c>
      <c r="U98" s="4" t="s">
        <v>47</v>
      </c>
      <c r="V98" s="4" t="s">
        <v>47</v>
      </c>
      <c r="W98" s="4" t="s">
        <v>49</v>
      </c>
      <c r="X98" s="4" t="s">
        <v>49</v>
      </c>
      <c r="Y98" s="4" t="s">
        <v>49</v>
      </c>
      <c r="Z98" s="4" t="s">
        <v>50</v>
      </c>
      <c r="AA98" s="4" t="s">
        <v>46</v>
      </c>
      <c r="AB98" s="5">
        <v>105</v>
      </c>
    </row>
    <row r="99" spans="1:28" ht="28.35" customHeight="1">
      <c r="A99" s="2" t="s">
        <v>28</v>
      </c>
      <c r="B99" s="2" t="s">
        <v>29</v>
      </c>
      <c r="C99" s="3" t="s">
        <v>212</v>
      </c>
      <c r="D99" s="3" t="s">
        <v>484</v>
      </c>
      <c r="E99" s="2" t="s">
        <v>485</v>
      </c>
      <c r="F99" s="2" t="s">
        <v>486</v>
      </c>
      <c r="G99" s="2" t="s">
        <v>34</v>
      </c>
      <c r="H99" s="2" t="s">
        <v>35</v>
      </c>
      <c r="I99" s="3" t="s">
        <v>36</v>
      </c>
      <c r="J99" s="3" t="s">
        <v>82</v>
      </c>
      <c r="K99" s="2" t="s">
        <v>38</v>
      </c>
      <c r="L99" s="2"/>
      <c r="M99" s="2" t="s">
        <v>39</v>
      </c>
      <c r="N99" s="3" t="s">
        <v>487</v>
      </c>
      <c r="O99" s="2" t="s">
        <v>488</v>
      </c>
      <c r="P99" s="2">
        <v>2026</v>
      </c>
      <c r="Q99" s="2">
        <v>5</v>
      </c>
      <c r="R99" s="2" t="s">
        <v>188</v>
      </c>
      <c r="S99" s="2" t="s">
        <v>489</v>
      </c>
      <c r="T99" s="4" t="s">
        <v>87</v>
      </c>
      <c r="U99" s="4" t="s">
        <v>47</v>
      </c>
      <c r="V99" s="4" t="s">
        <v>47</v>
      </c>
      <c r="W99" s="4" t="s">
        <v>49</v>
      </c>
      <c r="X99" s="4" t="s">
        <v>49</v>
      </c>
      <c r="Y99" s="4" t="s">
        <v>49</v>
      </c>
      <c r="Z99" s="4" t="s">
        <v>50</v>
      </c>
      <c r="AA99" s="4" t="s">
        <v>46</v>
      </c>
      <c r="AB99" s="5">
        <v>105</v>
      </c>
    </row>
    <row r="100" spans="1:28" ht="28.35" customHeight="1">
      <c r="A100" s="2" t="s">
        <v>28</v>
      </c>
      <c r="B100" s="2" t="s">
        <v>29</v>
      </c>
      <c r="C100" s="3" t="s">
        <v>30</v>
      </c>
      <c r="D100" s="3" t="s">
        <v>490</v>
      </c>
      <c r="E100" s="2" t="s">
        <v>491</v>
      </c>
      <c r="F100" s="2" t="s">
        <v>492</v>
      </c>
      <c r="G100" s="2" t="s">
        <v>34</v>
      </c>
      <c r="H100" s="2" t="s">
        <v>240</v>
      </c>
      <c r="I100" s="3" t="s">
        <v>36</v>
      </c>
      <c r="J100" s="3" t="s">
        <v>279</v>
      </c>
      <c r="K100" s="2" t="s">
        <v>38</v>
      </c>
      <c r="L100" s="2"/>
      <c r="M100" s="2" t="s">
        <v>39</v>
      </c>
      <c r="N100" s="3" t="s">
        <v>493</v>
      </c>
      <c r="O100" s="2" t="s">
        <v>96</v>
      </c>
      <c r="P100" s="2">
        <v>2026</v>
      </c>
      <c r="Q100" s="2">
        <v>4</v>
      </c>
      <c r="R100" s="2" t="s">
        <v>494</v>
      </c>
      <c r="S100" s="2" t="s">
        <v>306</v>
      </c>
      <c r="T100" s="4" t="s">
        <v>87</v>
      </c>
      <c r="U100" s="4" t="s">
        <v>109</v>
      </c>
      <c r="V100" s="4" t="s">
        <v>47</v>
      </c>
      <c r="W100" s="4" t="s">
        <v>47</v>
      </c>
      <c r="X100" s="4" t="s">
        <v>49</v>
      </c>
      <c r="Y100" s="4" t="s">
        <v>49</v>
      </c>
      <c r="Z100" s="4" t="s">
        <v>50</v>
      </c>
      <c r="AA100" s="4" t="s">
        <v>46</v>
      </c>
      <c r="AB100" s="5">
        <v>105</v>
      </c>
    </row>
    <row r="101" spans="1:28" ht="28.35" customHeight="1">
      <c r="A101" s="2" t="s">
        <v>28</v>
      </c>
      <c r="B101" s="2" t="s">
        <v>29</v>
      </c>
      <c r="C101" s="3" t="s">
        <v>30</v>
      </c>
      <c r="D101" s="3" t="s">
        <v>249</v>
      </c>
      <c r="E101" s="2" t="s">
        <v>495</v>
      </c>
      <c r="F101" s="2" t="s">
        <v>496</v>
      </c>
      <c r="G101" s="2" t="s">
        <v>34</v>
      </c>
      <c r="H101" s="2" t="s">
        <v>35</v>
      </c>
      <c r="I101" s="3" t="s">
        <v>36</v>
      </c>
      <c r="J101" s="3" t="s">
        <v>37</v>
      </c>
      <c r="K101" s="2" t="s">
        <v>38</v>
      </c>
      <c r="L101" s="2"/>
      <c r="M101" s="2" t="s">
        <v>39</v>
      </c>
      <c r="N101" s="3" t="s">
        <v>497</v>
      </c>
      <c r="O101" s="2" t="s">
        <v>219</v>
      </c>
      <c r="P101" s="2">
        <v>2026</v>
      </c>
      <c r="Q101" s="2">
        <v>3</v>
      </c>
      <c r="R101" s="2" t="s">
        <v>96</v>
      </c>
      <c r="S101" s="2" t="s">
        <v>498</v>
      </c>
      <c r="T101" s="4" t="s">
        <v>44</v>
      </c>
      <c r="U101" s="4" t="s">
        <v>77</v>
      </c>
      <c r="V101" s="4" t="s">
        <v>46</v>
      </c>
      <c r="W101" s="4" t="s">
        <v>47</v>
      </c>
      <c r="X101" s="4" t="s">
        <v>47</v>
      </c>
      <c r="Y101" s="4" t="s">
        <v>49</v>
      </c>
      <c r="Z101" s="4" t="s">
        <v>50</v>
      </c>
      <c r="AA101" s="4" t="s">
        <v>46</v>
      </c>
      <c r="AB101" s="5">
        <v>210</v>
      </c>
    </row>
    <row r="102" spans="1:28" ht="28.35" customHeight="1">
      <c r="A102" s="2" t="s">
        <v>28</v>
      </c>
      <c r="B102" s="2" t="s">
        <v>29</v>
      </c>
      <c r="C102" s="3" t="s">
        <v>68</v>
      </c>
      <c r="D102" s="3" t="s">
        <v>499</v>
      </c>
      <c r="E102" s="2" t="s">
        <v>500</v>
      </c>
      <c r="F102" s="2" t="s">
        <v>501</v>
      </c>
      <c r="G102" s="2" t="s">
        <v>34</v>
      </c>
      <c r="H102" s="2" t="s">
        <v>35</v>
      </c>
      <c r="I102" s="3" t="s">
        <v>36</v>
      </c>
      <c r="J102" s="3" t="s">
        <v>37</v>
      </c>
      <c r="K102" s="2" t="s">
        <v>38</v>
      </c>
      <c r="L102" s="2"/>
      <c r="M102" s="2" t="s">
        <v>39</v>
      </c>
      <c r="N102" s="3" t="s">
        <v>502</v>
      </c>
      <c r="O102" s="2" t="s">
        <v>503</v>
      </c>
      <c r="P102" s="2">
        <v>2026</v>
      </c>
      <c r="Q102" s="2">
        <v>3</v>
      </c>
      <c r="R102" s="2" t="s">
        <v>419</v>
      </c>
      <c r="S102" s="2" t="s">
        <v>504</v>
      </c>
      <c r="T102" s="4" t="s">
        <v>44</v>
      </c>
      <c r="U102" s="4" t="s">
        <v>121</v>
      </c>
      <c r="V102" s="4" t="s">
        <v>46</v>
      </c>
      <c r="W102" s="4" t="s">
        <v>88</v>
      </c>
      <c r="X102" s="4" t="s">
        <v>49</v>
      </c>
      <c r="Y102" s="4" t="s">
        <v>49</v>
      </c>
      <c r="Z102" s="4" t="s">
        <v>50</v>
      </c>
      <c r="AA102" s="4" t="s">
        <v>46</v>
      </c>
      <c r="AB102" s="5">
        <v>210</v>
      </c>
    </row>
    <row r="103" spans="1:28" ht="28.35" customHeight="1">
      <c r="A103" s="2" t="s">
        <v>28</v>
      </c>
      <c r="B103" s="2" t="s">
        <v>29</v>
      </c>
      <c r="C103" s="3" t="s">
        <v>68</v>
      </c>
      <c r="D103" s="3" t="s">
        <v>146</v>
      </c>
      <c r="E103" s="2" t="s">
        <v>505</v>
      </c>
      <c r="F103" s="2" t="s">
        <v>506</v>
      </c>
      <c r="G103" s="2" t="s">
        <v>34</v>
      </c>
      <c r="H103" s="2" t="s">
        <v>35</v>
      </c>
      <c r="I103" s="3" t="s">
        <v>36</v>
      </c>
      <c r="J103" s="3" t="s">
        <v>37</v>
      </c>
      <c r="K103" s="2" t="s">
        <v>38</v>
      </c>
      <c r="L103" s="2"/>
      <c r="M103" s="2" t="s">
        <v>39</v>
      </c>
      <c r="N103" s="3" t="s">
        <v>507</v>
      </c>
      <c r="O103" s="2" t="s">
        <v>188</v>
      </c>
      <c r="P103" s="2">
        <v>2026</v>
      </c>
      <c r="Q103" s="2">
        <v>7</v>
      </c>
      <c r="R103" s="2" t="s">
        <v>119</v>
      </c>
      <c r="S103" s="2" t="s">
        <v>508</v>
      </c>
      <c r="T103" s="4" t="s">
        <v>44</v>
      </c>
      <c r="U103" s="4" t="s">
        <v>109</v>
      </c>
      <c r="V103" s="4" t="s">
        <v>47</v>
      </c>
      <c r="W103" s="4" t="s">
        <v>47</v>
      </c>
      <c r="X103" s="4" t="s">
        <v>49</v>
      </c>
      <c r="Y103" s="4" t="s">
        <v>49</v>
      </c>
      <c r="Z103" s="4" t="s">
        <v>50</v>
      </c>
      <c r="AA103" s="4" t="s">
        <v>46</v>
      </c>
      <c r="AB103" s="5">
        <v>210</v>
      </c>
    </row>
    <row r="104" spans="1:28" ht="28.35" customHeight="1">
      <c r="A104" s="2" t="s">
        <v>28</v>
      </c>
      <c r="B104" s="2" t="s">
        <v>29</v>
      </c>
      <c r="C104" s="3" t="s">
        <v>162</v>
      </c>
      <c r="D104" s="3" t="s">
        <v>509</v>
      </c>
      <c r="E104" s="2" t="s">
        <v>510</v>
      </c>
      <c r="F104" s="2" t="s">
        <v>511</v>
      </c>
      <c r="G104" s="2" t="s">
        <v>34</v>
      </c>
      <c r="H104" s="2"/>
      <c r="I104" s="3" t="s">
        <v>166</v>
      </c>
      <c r="J104" s="3"/>
      <c r="K104" s="2"/>
      <c r="L104" s="2" t="s">
        <v>512</v>
      </c>
      <c r="M104" s="2" t="s">
        <v>39</v>
      </c>
      <c r="N104" s="3" t="s">
        <v>513</v>
      </c>
      <c r="O104" s="2" t="s">
        <v>514</v>
      </c>
      <c r="P104" s="2">
        <v>2026</v>
      </c>
      <c r="Q104" s="2">
        <v>3</v>
      </c>
      <c r="R104" s="2" t="s">
        <v>337</v>
      </c>
      <c r="S104" s="2"/>
      <c r="T104" s="4" t="s">
        <v>184</v>
      </c>
      <c r="U104" s="4" t="s">
        <v>46</v>
      </c>
      <c r="V104" s="4" t="s">
        <v>46</v>
      </c>
      <c r="W104" s="4" t="s">
        <v>49</v>
      </c>
      <c r="X104" s="4" t="s">
        <v>49</v>
      </c>
      <c r="Y104" s="4" t="s">
        <v>49</v>
      </c>
      <c r="Z104" s="4" t="s">
        <v>98</v>
      </c>
      <c r="AA104" s="4" t="s">
        <v>46</v>
      </c>
      <c r="AB104" s="5">
        <v>30</v>
      </c>
    </row>
    <row r="105" spans="1:28" ht="28.35" customHeight="1">
      <c r="A105" s="2" t="s">
        <v>28</v>
      </c>
      <c r="B105" s="2" t="s">
        <v>29</v>
      </c>
      <c r="C105" s="3" t="s">
        <v>162</v>
      </c>
      <c r="D105" s="3" t="s">
        <v>509</v>
      </c>
      <c r="E105" s="2" t="s">
        <v>510</v>
      </c>
      <c r="F105" s="2" t="s">
        <v>511</v>
      </c>
      <c r="G105" s="2" t="s">
        <v>34</v>
      </c>
      <c r="H105" s="2"/>
      <c r="I105" s="3" t="s">
        <v>166</v>
      </c>
      <c r="J105" s="3"/>
      <c r="K105" s="2"/>
      <c r="L105" s="2" t="s">
        <v>512</v>
      </c>
      <c r="M105" s="2" t="s">
        <v>39</v>
      </c>
      <c r="N105" s="3" t="s">
        <v>515</v>
      </c>
      <c r="O105" s="2" t="s">
        <v>516</v>
      </c>
      <c r="P105" s="2">
        <v>2026</v>
      </c>
      <c r="Q105" s="2">
        <v>3</v>
      </c>
      <c r="R105" s="2" t="s">
        <v>337</v>
      </c>
      <c r="S105" s="2"/>
      <c r="T105" s="4" t="s">
        <v>184</v>
      </c>
      <c r="U105" s="4" t="s">
        <v>46</v>
      </c>
      <c r="V105" s="4" t="s">
        <v>46</v>
      </c>
      <c r="W105" s="4" t="s">
        <v>49</v>
      </c>
      <c r="X105" s="4" t="s">
        <v>49</v>
      </c>
      <c r="Y105" s="4" t="s">
        <v>49</v>
      </c>
      <c r="Z105" s="4" t="s">
        <v>98</v>
      </c>
      <c r="AA105" s="4" t="s">
        <v>46</v>
      </c>
      <c r="AB105" s="5">
        <v>30</v>
      </c>
    </row>
    <row r="106" spans="1:28" ht="28.35" customHeight="1">
      <c r="A106" s="2" t="s">
        <v>28</v>
      </c>
      <c r="B106" s="2" t="s">
        <v>29</v>
      </c>
      <c r="C106" s="3" t="s">
        <v>162</v>
      </c>
      <c r="D106" s="3" t="s">
        <v>509</v>
      </c>
      <c r="E106" s="2" t="s">
        <v>510</v>
      </c>
      <c r="F106" s="2" t="s">
        <v>511</v>
      </c>
      <c r="G106" s="2" t="s">
        <v>34</v>
      </c>
      <c r="H106" s="2"/>
      <c r="I106" s="3" t="s">
        <v>166</v>
      </c>
      <c r="J106" s="3"/>
      <c r="K106" s="2"/>
      <c r="L106" s="2" t="s">
        <v>512</v>
      </c>
      <c r="M106" s="2" t="s">
        <v>39</v>
      </c>
      <c r="N106" s="3" t="s">
        <v>517</v>
      </c>
      <c r="O106" s="2" t="s">
        <v>41</v>
      </c>
      <c r="P106" s="2">
        <v>2026</v>
      </c>
      <c r="Q106" s="2">
        <v>3</v>
      </c>
      <c r="R106" s="2" t="s">
        <v>337</v>
      </c>
      <c r="S106" s="2"/>
      <c r="T106" s="4" t="s">
        <v>184</v>
      </c>
      <c r="U106" s="4" t="s">
        <v>46</v>
      </c>
      <c r="V106" s="4" t="s">
        <v>46</v>
      </c>
      <c r="W106" s="4" t="s">
        <v>49</v>
      </c>
      <c r="X106" s="4" t="s">
        <v>49</v>
      </c>
      <c r="Y106" s="4" t="s">
        <v>49</v>
      </c>
      <c r="Z106" s="4" t="s">
        <v>98</v>
      </c>
      <c r="AA106" s="4" t="s">
        <v>46</v>
      </c>
      <c r="AB106" s="5">
        <v>30</v>
      </c>
    </row>
    <row r="107" spans="1:28" ht="28.35" customHeight="1">
      <c r="A107" s="2" t="s">
        <v>28</v>
      </c>
      <c r="B107" s="2" t="s">
        <v>29</v>
      </c>
      <c r="C107" s="3" t="s">
        <v>206</v>
      </c>
      <c r="D107" s="3" t="s">
        <v>207</v>
      </c>
      <c r="E107" s="2" t="s">
        <v>518</v>
      </c>
      <c r="F107" s="2" t="s">
        <v>519</v>
      </c>
      <c r="G107" s="2" t="s">
        <v>34</v>
      </c>
      <c r="H107" s="2"/>
      <c r="I107" s="3" t="s">
        <v>114</v>
      </c>
      <c r="J107" s="3" t="s">
        <v>520</v>
      </c>
      <c r="K107" s="2" t="s">
        <v>72</v>
      </c>
      <c r="L107" s="2" t="s">
        <v>167</v>
      </c>
      <c r="M107" s="2" t="s">
        <v>39</v>
      </c>
      <c r="N107" s="3" t="s">
        <v>521</v>
      </c>
      <c r="O107" s="2" t="s">
        <v>522</v>
      </c>
      <c r="P107" s="2">
        <v>2026</v>
      </c>
      <c r="Q107" s="2">
        <v>4</v>
      </c>
      <c r="R107" s="2" t="s">
        <v>119</v>
      </c>
      <c r="S107" s="2"/>
      <c r="T107" s="4" t="s">
        <v>523</v>
      </c>
      <c r="U107" s="4" t="s">
        <v>524</v>
      </c>
      <c r="V107" s="4" t="s">
        <v>49</v>
      </c>
      <c r="W107" s="4" t="s">
        <v>524</v>
      </c>
      <c r="X107" s="4" t="s">
        <v>49</v>
      </c>
      <c r="Y107" s="4" t="s">
        <v>49</v>
      </c>
      <c r="Z107" s="4" t="s">
        <v>122</v>
      </c>
      <c r="AA107" s="4" t="s">
        <v>46</v>
      </c>
      <c r="AB107" s="5">
        <v>20</v>
      </c>
    </row>
    <row r="108" spans="1:28" ht="28.35" customHeight="1">
      <c r="A108" s="2" t="s">
        <v>28</v>
      </c>
      <c r="B108" s="2" t="s">
        <v>29</v>
      </c>
      <c r="C108" s="3" t="s">
        <v>206</v>
      </c>
      <c r="D108" s="3" t="s">
        <v>207</v>
      </c>
      <c r="E108" s="2" t="s">
        <v>518</v>
      </c>
      <c r="F108" s="2" t="s">
        <v>519</v>
      </c>
      <c r="G108" s="2" t="s">
        <v>34</v>
      </c>
      <c r="H108" s="2" t="s">
        <v>240</v>
      </c>
      <c r="I108" s="3" t="s">
        <v>36</v>
      </c>
      <c r="J108" s="3" t="s">
        <v>82</v>
      </c>
      <c r="K108" s="2" t="s">
        <v>38</v>
      </c>
      <c r="L108" s="2"/>
      <c r="M108" s="2" t="s">
        <v>39</v>
      </c>
      <c r="N108" s="3" t="s">
        <v>525</v>
      </c>
      <c r="O108" s="2" t="s">
        <v>128</v>
      </c>
      <c r="P108" s="2">
        <v>2026</v>
      </c>
      <c r="Q108" s="2">
        <v>5</v>
      </c>
      <c r="R108" s="2" t="s">
        <v>119</v>
      </c>
      <c r="S108" s="2" t="s">
        <v>526</v>
      </c>
      <c r="T108" s="4" t="s">
        <v>87</v>
      </c>
      <c r="U108" s="4" t="s">
        <v>46</v>
      </c>
      <c r="V108" s="4" t="s">
        <v>46</v>
      </c>
      <c r="W108" s="4" t="s">
        <v>49</v>
      </c>
      <c r="X108" s="4" t="s">
        <v>49</v>
      </c>
      <c r="Y108" s="4" t="s">
        <v>49</v>
      </c>
      <c r="Z108" s="4" t="s">
        <v>98</v>
      </c>
      <c r="AA108" s="4" t="s">
        <v>46</v>
      </c>
      <c r="AB108" s="5">
        <v>150</v>
      </c>
    </row>
    <row r="109" spans="1:28" ht="28.35" customHeight="1">
      <c r="A109" s="2" t="s">
        <v>28</v>
      </c>
      <c r="B109" s="2" t="s">
        <v>29</v>
      </c>
      <c r="C109" s="3" t="s">
        <v>206</v>
      </c>
      <c r="D109" s="3" t="s">
        <v>207</v>
      </c>
      <c r="E109" s="2" t="s">
        <v>518</v>
      </c>
      <c r="F109" s="2" t="s">
        <v>519</v>
      </c>
      <c r="G109" s="2" t="s">
        <v>34</v>
      </c>
      <c r="H109" s="2" t="s">
        <v>35</v>
      </c>
      <c r="I109" s="3" t="s">
        <v>36</v>
      </c>
      <c r="J109" s="3" t="s">
        <v>82</v>
      </c>
      <c r="K109" s="2" t="s">
        <v>38</v>
      </c>
      <c r="L109" s="2"/>
      <c r="M109" s="2" t="s">
        <v>39</v>
      </c>
      <c r="N109" s="3" t="s">
        <v>527</v>
      </c>
      <c r="O109" s="2" t="s">
        <v>74</v>
      </c>
      <c r="P109" s="2">
        <v>2026</v>
      </c>
      <c r="Q109" s="2">
        <v>6</v>
      </c>
      <c r="R109" s="2" t="s">
        <v>204</v>
      </c>
      <c r="S109" s="2" t="s">
        <v>321</v>
      </c>
      <c r="T109" s="4" t="s">
        <v>87</v>
      </c>
      <c r="U109" s="4" t="s">
        <v>46</v>
      </c>
      <c r="V109" s="4" t="s">
        <v>46</v>
      </c>
      <c r="W109" s="4" t="s">
        <v>49</v>
      </c>
      <c r="X109" s="4" t="s">
        <v>49</v>
      </c>
      <c r="Y109" s="4" t="s">
        <v>49</v>
      </c>
      <c r="Z109" s="4" t="s">
        <v>98</v>
      </c>
      <c r="AA109" s="4" t="s">
        <v>46</v>
      </c>
      <c r="AB109" s="5">
        <v>150</v>
      </c>
    </row>
    <row r="110" spans="1:28" ht="28.35" customHeight="1">
      <c r="A110" s="2" t="s">
        <v>28</v>
      </c>
      <c r="B110" s="2" t="s">
        <v>29</v>
      </c>
      <c r="C110" s="3" t="s">
        <v>190</v>
      </c>
      <c r="D110" s="3" t="s">
        <v>191</v>
      </c>
      <c r="E110" s="2" t="s">
        <v>528</v>
      </c>
      <c r="F110" s="2" t="s">
        <v>529</v>
      </c>
      <c r="G110" s="2" t="s">
        <v>34</v>
      </c>
      <c r="H110" s="2" t="s">
        <v>35</v>
      </c>
      <c r="I110" s="3" t="s">
        <v>36</v>
      </c>
      <c r="J110" s="3" t="s">
        <v>37</v>
      </c>
      <c r="K110" s="2" t="s">
        <v>72</v>
      </c>
      <c r="L110" s="2" t="s">
        <v>530</v>
      </c>
      <c r="M110" s="2" t="s">
        <v>39</v>
      </c>
      <c r="N110" s="3" t="s">
        <v>531</v>
      </c>
      <c r="O110" s="2" t="s">
        <v>532</v>
      </c>
      <c r="P110" s="2">
        <v>2026</v>
      </c>
      <c r="Q110" s="2">
        <v>8</v>
      </c>
      <c r="R110" s="2" t="s">
        <v>100</v>
      </c>
      <c r="S110" s="2" t="s">
        <v>533</v>
      </c>
      <c r="T110" s="4" t="s">
        <v>44</v>
      </c>
      <c r="U110" s="4" t="s">
        <v>88</v>
      </c>
      <c r="V110" s="4" t="s">
        <v>47</v>
      </c>
      <c r="W110" s="4" t="s">
        <v>47</v>
      </c>
      <c r="X110" s="4" t="s">
        <v>47</v>
      </c>
      <c r="Y110" s="4" t="s">
        <v>49</v>
      </c>
      <c r="Z110" s="4" t="s">
        <v>78</v>
      </c>
      <c r="AA110" s="4" t="s">
        <v>46</v>
      </c>
      <c r="AB110" s="5">
        <v>75</v>
      </c>
    </row>
    <row r="111" spans="1:28" ht="28.35" customHeight="1">
      <c r="A111" s="2" t="s">
        <v>28</v>
      </c>
      <c r="B111" s="2" t="s">
        <v>29</v>
      </c>
      <c r="C111" s="3" t="s">
        <v>68</v>
      </c>
      <c r="D111" s="3" t="s">
        <v>408</v>
      </c>
      <c r="E111" s="2" t="s">
        <v>534</v>
      </c>
      <c r="F111" s="2" t="s">
        <v>535</v>
      </c>
      <c r="G111" s="2" t="s">
        <v>34</v>
      </c>
      <c r="H111" s="2" t="s">
        <v>35</v>
      </c>
      <c r="I111" s="3" t="s">
        <v>36</v>
      </c>
      <c r="J111" s="3" t="s">
        <v>37</v>
      </c>
      <c r="K111" s="2" t="s">
        <v>38</v>
      </c>
      <c r="L111" s="2" t="s">
        <v>536</v>
      </c>
      <c r="M111" s="2" t="s">
        <v>39</v>
      </c>
      <c r="N111" s="3" t="s">
        <v>537</v>
      </c>
      <c r="O111" s="2" t="s">
        <v>538</v>
      </c>
      <c r="P111" s="2">
        <v>2026</v>
      </c>
      <c r="Q111" s="2">
        <v>8</v>
      </c>
      <c r="R111" s="2" t="s">
        <v>100</v>
      </c>
      <c r="S111" s="2" t="s">
        <v>539</v>
      </c>
      <c r="T111" s="4" t="s">
        <v>44</v>
      </c>
      <c r="U111" s="4" t="s">
        <v>256</v>
      </c>
      <c r="V111" s="4" t="s">
        <v>60</v>
      </c>
      <c r="W111" s="4" t="s">
        <v>60</v>
      </c>
      <c r="X111" s="4" t="s">
        <v>47</v>
      </c>
      <c r="Y111" s="4" t="s">
        <v>49</v>
      </c>
      <c r="Z111" s="4" t="s">
        <v>295</v>
      </c>
      <c r="AA111" s="4" t="s">
        <v>46</v>
      </c>
      <c r="AB111" s="5">
        <v>140</v>
      </c>
    </row>
    <row r="112" spans="1:28" ht="28.35" customHeight="1">
      <c r="A112" s="2" t="s">
        <v>28</v>
      </c>
      <c r="B112" s="2" t="s">
        <v>29</v>
      </c>
      <c r="C112" s="3" t="s">
        <v>68</v>
      </c>
      <c r="D112" s="3" t="s">
        <v>408</v>
      </c>
      <c r="E112" s="2" t="s">
        <v>534</v>
      </c>
      <c r="F112" s="2" t="s">
        <v>535</v>
      </c>
      <c r="G112" s="2" t="s">
        <v>34</v>
      </c>
      <c r="H112" s="2" t="s">
        <v>35</v>
      </c>
      <c r="I112" s="3" t="s">
        <v>36</v>
      </c>
      <c r="J112" s="3" t="s">
        <v>37</v>
      </c>
      <c r="K112" s="2" t="s">
        <v>38</v>
      </c>
      <c r="L112" s="2"/>
      <c r="M112" s="2" t="s">
        <v>39</v>
      </c>
      <c r="N112" s="3" t="s">
        <v>540</v>
      </c>
      <c r="O112" s="2" t="s">
        <v>173</v>
      </c>
      <c r="P112" s="2">
        <v>2026</v>
      </c>
      <c r="Q112" s="2">
        <v>4</v>
      </c>
      <c r="R112" s="2" t="s">
        <v>183</v>
      </c>
      <c r="S112" s="2" t="s">
        <v>541</v>
      </c>
      <c r="T112" s="4" t="s">
        <v>44</v>
      </c>
      <c r="U112" s="4" t="s">
        <v>77</v>
      </c>
      <c r="V112" s="4" t="s">
        <v>60</v>
      </c>
      <c r="W112" s="4" t="s">
        <v>49</v>
      </c>
      <c r="X112" s="4" t="s">
        <v>47</v>
      </c>
      <c r="Y112" s="4" t="s">
        <v>49</v>
      </c>
      <c r="Z112" s="4" t="s">
        <v>295</v>
      </c>
      <c r="AA112" s="4" t="s">
        <v>46</v>
      </c>
      <c r="AB112" s="5">
        <v>140</v>
      </c>
    </row>
    <row r="113" spans="1:28" ht="28.35" customHeight="1">
      <c r="A113" s="2" t="s">
        <v>28</v>
      </c>
      <c r="B113" s="2" t="s">
        <v>29</v>
      </c>
      <c r="C113" s="3" t="s">
        <v>68</v>
      </c>
      <c r="D113" s="3" t="s">
        <v>408</v>
      </c>
      <c r="E113" s="2" t="s">
        <v>534</v>
      </c>
      <c r="F113" s="2" t="s">
        <v>535</v>
      </c>
      <c r="G113" s="2" t="s">
        <v>34</v>
      </c>
      <c r="H113" s="2" t="s">
        <v>35</v>
      </c>
      <c r="I113" s="3" t="s">
        <v>36</v>
      </c>
      <c r="J113" s="3" t="s">
        <v>37</v>
      </c>
      <c r="K113" s="2" t="s">
        <v>72</v>
      </c>
      <c r="L113" s="2"/>
      <c r="M113" s="2" t="s">
        <v>39</v>
      </c>
      <c r="N113" s="3" t="s">
        <v>542</v>
      </c>
      <c r="O113" s="2" t="s">
        <v>543</v>
      </c>
      <c r="P113" s="2">
        <v>2026</v>
      </c>
      <c r="Q113" s="2">
        <v>5</v>
      </c>
      <c r="R113" s="2" t="s">
        <v>100</v>
      </c>
      <c r="S113" s="2" t="s">
        <v>544</v>
      </c>
      <c r="T113" s="4" t="s">
        <v>44</v>
      </c>
      <c r="U113" s="4" t="s">
        <v>77</v>
      </c>
      <c r="V113" s="4" t="s">
        <v>47</v>
      </c>
      <c r="W113" s="4" t="s">
        <v>46</v>
      </c>
      <c r="X113" s="4" t="s">
        <v>47</v>
      </c>
      <c r="Y113" s="4" t="s">
        <v>49</v>
      </c>
      <c r="Z113" s="4" t="s">
        <v>78</v>
      </c>
      <c r="AA113" s="4" t="s">
        <v>46</v>
      </c>
      <c r="AB113" s="5">
        <v>100</v>
      </c>
    </row>
    <row r="114" spans="1:28" ht="28.35" customHeight="1">
      <c r="A114" s="2" t="s">
        <v>28</v>
      </c>
      <c r="B114" s="2" t="s">
        <v>29</v>
      </c>
      <c r="C114" s="3" t="s">
        <v>68</v>
      </c>
      <c r="D114" s="3" t="s">
        <v>408</v>
      </c>
      <c r="E114" s="2" t="s">
        <v>534</v>
      </c>
      <c r="F114" s="2" t="s">
        <v>535</v>
      </c>
      <c r="G114" s="2" t="s">
        <v>34</v>
      </c>
      <c r="H114" s="2" t="s">
        <v>35</v>
      </c>
      <c r="I114" s="3" t="s">
        <v>36</v>
      </c>
      <c r="J114" s="3" t="s">
        <v>37</v>
      </c>
      <c r="K114" s="2" t="s">
        <v>38</v>
      </c>
      <c r="L114" s="2" t="s">
        <v>545</v>
      </c>
      <c r="M114" s="2" t="s">
        <v>39</v>
      </c>
      <c r="N114" s="3" t="s">
        <v>546</v>
      </c>
      <c r="O114" s="2" t="s">
        <v>547</v>
      </c>
      <c r="P114" s="2">
        <v>2026</v>
      </c>
      <c r="Q114" s="2">
        <v>7</v>
      </c>
      <c r="R114" s="2" t="s">
        <v>100</v>
      </c>
      <c r="S114" s="2" t="s">
        <v>548</v>
      </c>
      <c r="T114" s="4" t="s">
        <v>44</v>
      </c>
      <c r="U114" s="4" t="s">
        <v>121</v>
      </c>
      <c r="V114" s="4" t="s">
        <v>60</v>
      </c>
      <c r="W114" s="4" t="s">
        <v>46</v>
      </c>
      <c r="X114" s="4" t="s">
        <v>60</v>
      </c>
      <c r="Y114" s="4" t="s">
        <v>49</v>
      </c>
      <c r="Z114" s="4" t="s">
        <v>295</v>
      </c>
      <c r="AA114" s="4" t="s">
        <v>46</v>
      </c>
      <c r="AB114" s="5">
        <v>140</v>
      </c>
    </row>
    <row r="115" spans="1:28" ht="28.35" customHeight="1">
      <c r="A115" s="2" t="s">
        <v>28</v>
      </c>
      <c r="B115" s="2" t="s">
        <v>29</v>
      </c>
      <c r="C115" s="3" t="s">
        <v>206</v>
      </c>
      <c r="D115" s="3" t="s">
        <v>549</v>
      </c>
      <c r="E115" s="2" t="s">
        <v>550</v>
      </c>
      <c r="F115" s="2" t="s">
        <v>551</v>
      </c>
      <c r="G115" s="2" t="s">
        <v>94</v>
      </c>
      <c r="H115" s="2" t="s">
        <v>35</v>
      </c>
      <c r="I115" s="3" t="s">
        <v>36</v>
      </c>
      <c r="J115" s="3" t="s">
        <v>82</v>
      </c>
      <c r="K115" s="2" t="s">
        <v>38</v>
      </c>
      <c r="L115" s="2"/>
      <c r="M115" s="2" t="s">
        <v>39</v>
      </c>
      <c r="N115" s="3" t="s">
        <v>552</v>
      </c>
      <c r="O115" s="2" t="s">
        <v>74</v>
      </c>
      <c r="P115" s="2">
        <v>2026</v>
      </c>
      <c r="Q115" s="2">
        <v>6</v>
      </c>
      <c r="R115" s="2" t="s">
        <v>75</v>
      </c>
      <c r="S115" s="2" t="s">
        <v>553</v>
      </c>
      <c r="T115" s="4" t="s">
        <v>87</v>
      </c>
      <c r="U115" s="4" t="s">
        <v>46</v>
      </c>
      <c r="V115" s="4" t="s">
        <v>46</v>
      </c>
      <c r="W115" s="4" t="s">
        <v>49</v>
      </c>
      <c r="X115" s="4" t="s">
        <v>49</v>
      </c>
      <c r="Y115" s="4" t="s">
        <v>49</v>
      </c>
      <c r="Z115" s="4" t="s">
        <v>98</v>
      </c>
      <c r="AA115" s="4" t="s">
        <v>46</v>
      </c>
      <c r="AB115" s="5">
        <v>150</v>
      </c>
    </row>
    <row r="116" spans="1:28" ht="28.35" customHeight="1">
      <c r="A116" s="2" t="s">
        <v>28</v>
      </c>
      <c r="B116" s="2" t="s">
        <v>29</v>
      </c>
      <c r="C116" s="3" t="s">
        <v>206</v>
      </c>
      <c r="D116" s="3" t="s">
        <v>549</v>
      </c>
      <c r="E116" s="2" t="s">
        <v>550</v>
      </c>
      <c r="F116" s="2" t="s">
        <v>551</v>
      </c>
      <c r="G116" s="2" t="s">
        <v>94</v>
      </c>
      <c r="H116" s="2" t="s">
        <v>35</v>
      </c>
      <c r="I116" s="3" t="s">
        <v>36</v>
      </c>
      <c r="J116" s="3" t="s">
        <v>82</v>
      </c>
      <c r="K116" s="2" t="s">
        <v>38</v>
      </c>
      <c r="L116" s="2"/>
      <c r="M116" s="2" t="s">
        <v>39</v>
      </c>
      <c r="N116" s="3" t="s">
        <v>554</v>
      </c>
      <c r="O116" s="2" t="s">
        <v>74</v>
      </c>
      <c r="P116" s="2">
        <v>2026</v>
      </c>
      <c r="Q116" s="2">
        <v>6</v>
      </c>
      <c r="R116" s="2" t="s">
        <v>75</v>
      </c>
      <c r="S116" s="2" t="s">
        <v>555</v>
      </c>
      <c r="T116" s="4" t="s">
        <v>87</v>
      </c>
      <c r="U116" s="4" t="s">
        <v>46</v>
      </c>
      <c r="V116" s="4" t="s">
        <v>46</v>
      </c>
      <c r="W116" s="4" t="s">
        <v>49</v>
      </c>
      <c r="X116" s="4" t="s">
        <v>49</v>
      </c>
      <c r="Y116" s="4" t="s">
        <v>49</v>
      </c>
      <c r="Z116" s="4" t="s">
        <v>98</v>
      </c>
      <c r="AA116" s="4" t="s">
        <v>46</v>
      </c>
      <c r="AB116" s="5">
        <v>150</v>
      </c>
    </row>
    <row r="117" spans="1:28" ht="28.35" customHeight="1">
      <c r="A117" s="2" t="s">
        <v>28</v>
      </c>
      <c r="B117" s="2" t="s">
        <v>29</v>
      </c>
      <c r="C117" s="3" t="s">
        <v>212</v>
      </c>
      <c r="D117" s="3" t="s">
        <v>484</v>
      </c>
      <c r="E117" s="2" t="s">
        <v>556</v>
      </c>
      <c r="F117" s="2" t="s">
        <v>557</v>
      </c>
      <c r="G117" s="2" t="s">
        <v>34</v>
      </c>
      <c r="H117" s="2" t="s">
        <v>35</v>
      </c>
      <c r="I117" s="3" t="s">
        <v>36</v>
      </c>
      <c r="J117" s="3" t="s">
        <v>558</v>
      </c>
      <c r="K117" s="2" t="s">
        <v>38</v>
      </c>
      <c r="L117" s="2"/>
      <c r="M117" s="2" t="s">
        <v>39</v>
      </c>
      <c r="N117" s="3" t="s">
        <v>559</v>
      </c>
      <c r="O117" s="2" t="s">
        <v>560</v>
      </c>
      <c r="P117" s="2">
        <v>2026</v>
      </c>
      <c r="Q117" s="2">
        <v>3</v>
      </c>
      <c r="R117" s="2" t="s">
        <v>75</v>
      </c>
      <c r="S117" s="2" t="s">
        <v>561</v>
      </c>
      <c r="T117" s="4" t="s">
        <v>562</v>
      </c>
      <c r="U117" s="4" t="s">
        <v>60</v>
      </c>
      <c r="V117" s="4" t="s">
        <v>47</v>
      </c>
      <c r="W117" s="4" t="s">
        <v>46</v>
      </c>
      <c r="X117" s="4" t="s">
        <v>49</v>
      </c>
      <c r="Y117" s="4" t="s">
        <v>49</v>
      </c>
      <c r="Z117" s="4" t="s">
        <v>50</v>
      </c>
      <c r="AA117" s="4" t="s">
        <v>46</v>
      </c>
      <c r="AB117" s="5">
        <v>315</v>
      </c>
    </row>
    <row r="118" spans="1:28" ht="28.35" customHeight="1">
      <c r="A118" s="2" t="s">
        <v>28</v>
      </c>
      <c r="B118" s="2" t="s">
        <v>29</v>
      </c>
      <c r="C118" s="3" t="s">
        <v>68</v>
      </c>
      <c r="D118" s="3" t="s">
        <v>499</v>
      </c>
      <c r="E118" s="2" t="s">
        <v>563</v>
      </c>
      <c r="F118" s="2" t="s">
        <v>564</v>
      </c>
      <c r="G118" s="2" t="s">
        <v>34</v>
      </c>
      <c r="H118" s="2" t="s">
        <v>35</v>
      </c>
      <c r="I118" s="3" t="s">
        <v>36</v>
      </c>
      <c r="J118" s="3" t="s">
        <v>37</v>
      </c>
      <c r="K118" s="2" t="s">
        <v>38</v>
      </c>
      <c r="L118" s="2"/>
      <c r="M118" s="2" t="s">
        <v>39</v>
      </c>
      <c r="N118" s="3" t="s">
        <v>565</v>
      </c>
      <c r="O118" s="2" t="s">
        <v>566</v>
      </c>
      <c r="P118" s="2">
        <v>2026</v>
      </c>
      <c r="Q118" s="2">
        <v>4</v>
      </c>
      <c r="R118" s="2" t="s">
        <v>247</v>
      </c>
      <c r="S118" s="2" t="s">
        <v>567</v>
      </c>
      <c r="T118" s="4" t="s">
        <v>44</v>
      </c>
      <c r="U118" s="4" t="s">
        <v>121</v>
      </c>
      <c r="V118" s="4" t="s">
        <v>46</v>
      </c>
      <c r="W118" s="4" t="s">
        <v>60</v>
      </c>
      <c r="X118" s="4" t="s">
        <v>60</v>
      </c>
      <c r="Y118" s="4" t="s">
        <v>49</v>
      </c>
      <c r="Z118" s="4" t="s">
        <v>50</v>
      </c>
      <c r="AA118" s="4" t="s">
        <v>46</v>
      </c>
      <c r="AB118" s="5">
        <v>210</v>
      </c>
    </row>
    <row r="119" spans="1:28" ht="28.35" customHeight="1">
      <c r="A119" s="2" t="s">
        <v>28</v>
      </c>
      <c r="B119" s="2" t="s">
        <v>29</v>
      </c>
      <c r="C119" s="3" t="s">
        <v>68</v>
      </c>
      <c r="D119" s="3" t="s">
        <v>499</v>
      </c>
      <c r="E119" s="2" t="s">
        <v>563</v>
      </c>
      <c r="F119" s="2" t="s">
        <v>564</v>
      </c>
      <c r="G119" s="2" t="s">
        <v>34</v>
      </c>
      <c r="H119" s="2" t="s">
        <v>35</v>
      </c>
      <c r="I119" s="3" t="s">
        <v>36</v>
      </c>
      <c r="J119" s="3" t="s">
        <v>37</v>
      </c>
      <c r="K119" s="2" t="s">
        <v>38</v>
      </c>
      <c r="L119" s="2"/>
      <c r="M119" s="2" t="s">
        <v>39</v>
      </c>
      <c r="N119" s="3" t="s">
        <v>568</v>
      </c>
      <c r="O119" s="2" t="s">
        <v>150</v>
      </c>
      <c r="P119" s="2">
        <v>2026</v>
      </c>
      <c r="Q119" s="2">
        <v>5</v>
      </c>
      <c r="R119" s="2" t="s">
        <v>569</v>
      </c>
      <c r="S119" s="2" t="s">
        <v>570</v>
      </c>
      <c r="T119" s="4" t="s">
        <v>44</v>
      </c>
      <c r="U119" s="4" t="s">
        <v>88</v>
      </c>
      <c r="V119" s="4" t="s">
        <v>46</v>
      </c>
      <c r="W119" s="4" t="s">
        <v>60</v>
      </c>
      <c r="X119" s="4" t="s">
        <v>47</v>
      </c>
      <c r="Y119" s="4" t="s">
        <v>49</v>
      </c>
      <c r="Z119" s="4" t="s">
        <v>50</v>
      </c>
      <c r="AA119" s="4" t="s">
        <v>46</v>
      </c>
      <c r="AB119" s="5">
        <v>210</v>
      </c>
    </row>
    <row r="120" spans="1:28" ht="28.35" customHeight="1">
      <c r="A120" s="2" t="s">
        <v>28</v>
      </c>
      <c r="B120" s="2" t="s">
        <v>29</v>
      </c>
      <c r="C120" s="3" t="s">
        <v>138</v>
      </c>
      <c r="D120" s="3" t="s">
        <v>571</v>
      </c>
      <c r="E120" s="2" t="s">
        <v>572</v>
      </c>
      <c r="F120" s="2" t="s">
        <v>573</v>
      </c>
      <c r="G120" s="2" t="s">
        <v>94</v>
      </c>
      <c r="H120" s="2" t="s">
        <v>35</v>
      </c>
      <c r="I120" s="3" t="s">
        <v>36</v>
      </c>
      <c r="J120" s="3" t="s">
        <v>279</v>
      </c>
      <c r="K120" s="2" t="s">
        <v>38</v>
      </c>
      <c r="L120" s="2"/>
      <c r="M120" s="2" t="s">
        <v>39</v>
      </c>
      <c r="N120" s="3" t="s">
        <v>574</v>
      </c>
      <c r="O120" s="2" t="s">
        <v>363</v>
      </c>
      <c r="P120" s="2">
        <v>2026</v>
      </c>
      <c r="Q120" s="2">
        <v>3</v>
      </c>
      <c r="R120" s="2" t="s">
        <v>97</v>
      </c>
      <c r="S120" s="2" t="s">
        <v>575</v>
      </c>
      <c r="T120" s="4" t="s">
        <v>87</v>
      </c>
      <c r="U120" s="4" t="s">
        <v>46</v>
      </c>
      <c r="V120" s="4" t="s">
        <v>46</v>
      </c>
      <c r="W120" s="4" t="s">
        <v>49</v>
      </c>
      <c r="X120" s="4" t="s">
        <v>49</v>
      </c>
      <c r="Y120" s="4" t="s">
        <v>49</v>
      </c>
      <c r="Z120" s="4" t="s">
        <v>98</v>
      </c>
      <c r="AA120" s="4" t="s">
        <v>46</v>
      </c>
      <c r="AB120" s="5">
        <v>150</v>
      </c>
    </row>
    <row r="121" spans="1:28" ht="28.35" customHeight="1">
      <c r="A121" s="2" t="s">
        <v>28</v>
      </c>
      <c r="B121" s="2" t="s">
        <v>29</v>
      </c>
      <c r="C121" s="3" t="s">
        <v>51</v>
      </c>
      <c r="D121" s="3" t="s">
        <v>576</v>
      </c>
      <c r="E121" s="2" t="s">
        <v>577</v>
      </c>
      <c r="F121" s="2" t="s">
        <v>578</v>
      </c>
      <c r="G121" s="2" t="s">
        <v>94</v>
      </c>
      <c r="H121" s="2" t="s">
        <v>35</v>
      </c>
      <c r="I121" s="3" t="s">
        <v>36</v>
      </c>
      <c r="J121" s="3" t="s">
        <v>82</v>
      </c>
      <c r="K121" s="2" t="s">
        <v>38</v>
      </c>
      <c r="L121" s="2"/>
      <c r="M121" s="2" t="s">
        <v>39</v>
      </c>
      <c r="N121" s="3" t="s">
        <v>579</v>
      </c>
      <c r="O121" s="2" t="s">
        <v>96</v>
      </c>
      <c r="P121" s="2">
        <v>2026</v>
      </c>
      <c r="Q121" s="2">
        <v>4</v>
      </c>
      <c r="R121" s="2" t="s">
        <v>580</v>
      </c>
      <c r="S121" s="2" t="s">
        <v>581</v>
      </c>
      <c r="T121" s="4" t="s">
        <v>87</v>
      </c>
      <c r="U121" s="4" t="s">
        <v>46</v>
      </c>
      <c r="V121" s="4" t="s">
        <v>46</v>
      </c>
      <c r="W121" s="4" t="s">
        <v>49</v>
      </c>
      <c r="X121" s="4" t="s">
        <v>49</v>
      </c>
      <c r="Y121" s="4" t="s">
        <v>49</v>
      </c>
      <c r="Z121" s="4" t="s">
        <v>98</v>
      </c>
      <c r="AA121" s="4" t="s">
        <v>46</v>
      </c>
      <c r="AB121" s="5">
        <v>150</v>
      </c>
    </row>
    <row r="122" spans="1:28" ht="28.35" customHeight="1">
      <c r="A122" s="2" t="s">
        <v>28</v>
      </c>
      <c r="B122" s="2" t="s">
        <v>29</v>
      </c>
      <c r="C122" s="3" t="s">
        <v>30</v>
      </c>
      <c r="D122" s="3" t="s">
        <v>331</v>
      </c>
      <c r="E122" s="2" t="s">
        <v>582</v>
      </c>
      <c r="F122" s="2" t="s">
        <v>583</v>
      </c>
      <c r="G122" s="2" t="s">
        <v>34</v>
      </c>
      <c r="H122" s="2"/>
      <c r="I122" s="3" t="s">
        <v>114</v>
      </c>
      <c r="J122" s="3" t="s">
        <v>115</v>
      </c>
      <c r="K122" s="2" t="s">
        <v>72</v>
      </c>
      <c r="L122" s="2" t="s">
        <v>584</v>
      </c>
      <c r="M122" s="2" t="s">
        <v>39</v>
      </c>
      <c r="N122" s="3" t="s">
        <v>335</v>
      </c>
      <c r="O122" s="2" t="s">
        <v>336</v>
      </c>
      <c r="P122" s="2">
        <v>2026</v>
      </c>
      <c r="Q122" s="2">
        <v>3</v>
      </c>
      <c r="R122" s="2" t="s">
        <v>419</v>
      </c>
      <c r="S122" s="2"/>
      <c r="T122" s="4" t="s">
        <v>120</v>
      </c>
      <c r="U122" s="4" t="s">
        <v>46</v>
      </c>
      <c r="V122" s="4" t="s">
        <v>49</v>
      </c>
      <c r="W122" s="4" t="s">
        <v>46</v>
      </c>
      <c r="X122" s="4" t="s">
        <v>49</v>
      </c>
      <c r="Y122" s="4" t="s">
        <v>49</v>
      </c>
      <c r="Z122" s="4" t="s">
        <v>98</v>
      </c>
      <c r="AA122" s="4" t="s">
        <v>46</v>
      </c>
      <c r="AB122" s="5">
        <v>10</v>
      </c>
    </row>
    <row r="123" spans="1:28" ht="28.35" customHeight="1">
      <c r="A123" s="2" t="s">
        <v>28</v>
      </c>
      <c r="B123" s="2" t="s">
        <v>29</v>
      </c>
      <c r="C123" s="3" t="s">
        <v>212</v>
      </c>
      <c r="D123" s="3" t="s">
        <v>484</v>
      </c>
      <c r="E123" s="2" t="s">
        <v>585</v>
      </c>
      <c r="F123" s="2" t="s">
        <v>586</v>
      </c>
      <c r="G123" s="2" t="s">
        <v>94</v>
      </c>
      <c r="H123" s="2" t="s">
        <v>35</v>
      </c>
      <c r="I123" s="3" t="s">
        <v>36</v>
      </c>
      <c r="J123" s="3" t="s">
        <v>82</v>
      </c>
      <c r="K123" s="2" t="s">
        <v>38</v>
      </c>
      <c r="L123" s="2"/>
      <c r="M123" s="2" t="s">
        <v>39</v>
      </c>
      <c r="N123" s="3" t="s">
        <v>487</v>
      </c>
      <c r="O123" s="2" t="s">
        <v>488</v>
      </c>
      <c r="P123" s="2">
        <v>2026</v>
      </c>
      <c r="Q123" s="2">
        <v>5</v>
      </c>
      <c r="R123" s="2" t="s">
        <v>293</v>
      </c>
      <c r="S123" s="2" t="s">
        <v>489</v>
      </c>
      <c r="T123" s="4" t="s">
        <v>87</v>
      </c>
      <c r="U123" s="4" t="s">
        <v>47</v>
      </c>
      <c r="V123" s="4" t="s">
        <v>47</v>
      </c>
      <c r="W123" s="4" t="s">
        <v>49</v>
      </c>
      <c r="X123" s="4" t="s">
        <v>49</v>
      </c>
      <c r="Y123" s="4" t="s">
        <v>49</v>
      </c>
      <c r="Z123" s="4" t="s">
        <v>50</v>
      </c>
      <c r="AA123" s="4" t="s">
        <v>46</v>
      </c>
      <c r="AB123" s="5">
        <v>105</v>
      </c>
    </row>
    <row r="124" spans="1:28" ht="28.35" customHeight="1">
      <c r="A124" s="2" t="s">
        <v>28</v>
      </c>
      <c r="B124" s="2" t="s">
        <v>29</v>
      </c>
      <c r="C124" s="3" t="s">
        <v>322</v>
      </c>
      <c r="D124" s="3" t="s">
        <v>587</v>
      </c>
      <c r="E124" s="2" t="s">
        <v>588</v>
      </c>
      <c r="F124" s="2" t="s">
        <v>589</v>
      </c>
      <c r="G124" s="2" t="s">
        <v>590</v>
      </c>
      <c r="H124" s="2" t="s">
        <v>35</v>
      </c>
      <c r="I124" s="3" t="s">
        <v>36</v>
      </c>
      <c r="J124" s="3" t="s">
        <v>82</v>
      </c>
      <c r="K124" s="2" t="s">
        <v>38</v>
      </c>
      <c r="L124" s="2"/>
      <c r="M124" s="2" t="s">
        <v>39</v>
      </c>
      <c r="N124" s="3" t="s">
        <v>591</v>
      </c>
      <c r="O124" s="2" t="s">
        <v>219</v>
      </c>
      <c r="P124" s="2">
        <v>2026</v>
      </c>
      <c r="Q124" s="2">
        <v>3</v>
      </c>
      <c r="R124" s="2" t="s">
        <v>419</v>
      </c>
      <c r="S124" s="2" t="s">
        <v>592</v>
      </c>
      <c r="T124" s="4" t="s">
        <v>87</v>
      </c>
      <c r="U124" s="4" t="s">
        <v>47</v>
      </c>
      <c r="V124" s="4" t="s">
        <v>46</v>
      </c>
      <c r="W124" s="4" t="s">
        <v>46</v>
      </c>
      <c r="X124" s="4" t="s">
        <v>49</v>
      </c>
      <c r="Y124" s="4" t="s">
        <v>49</v>
      </c>
      <c r="Z124" s="4" t="s">
        <v>50</v>
      </c>
      <c r="AA124" s="4" t="s">
        <v>46</v>
      </c>
      <c r="AB124" s="5">
        <v>105</v>
      </c>
    </row>
    <row r="125" spans="1:28" ht="28.35" customHeight="1">
      <c r="A125" s="2" t="s">
        <v>28</v>
      </c>
      <c r="B125" s="2" t="s">
        <v>29</v>
      </c>
      <c r="C125" s="3" t="s">
        <v>322</v>
      </c>
      <c r="D125" s="3" t="s">
        <v>587</v>
      </c>
      <c r="E125" s="2" t="s">
        <v>588</v>
      </c>
      <c r="F125" s="2" t="s">
        <v>589</v>
      </c>
      <c r="G125" s="2" t="s">
        <v>590</v>
      </c>
      <c r="H125" s="2" t="s">
        <v>35</v>
      </c>
      <c r="I125" s="3" t="s">
        <v>36</v>
      </c>
      <c r="J125" s="3" t="s">
        <v>82</v>
      </c>
      <c r="K125" s="2" t="s">
        <v>38</v>
      </c>
      <c r="L125" s="2"/>
      <c r="M125" s="2" t="s">
        <v>39</v>
      </c>
      <c r="N125" s="3" t="s">
        <v>593</v>
      </c>
      <c r="O125" s="2" t="s">
        <v>74</v>
      </c>
      <c r="P125" s="2">
        <v>2026</v>
      </c>
      <c r="Q125" s="2">
        <v>6</v>
      </c>
      <c r="R125" s="2" t="s">
        <v>229</v>
      </c>
      <c r="S125" s="2" t="s">
        <v>594</v>
      </c>
      <c r="T125" s="4" t="s">
        <v>87</v>
      </c>
      <c r="U125" s="4" t="s">
        <v>46</v>
      </c>
      <c r="V125" s="4" t="s">
        <v>46</v>
      </c>
      <c r="W125" s="4" t="s">
        <v>49</v>
      </c>
      <c r="X125" s="4" t="s">
        <v>49</v>
      </c>
      <c r="Y125" s="4" t="s">
        <v>49</v>
      </c>
      <c r="Z125" s="4" t="s">
        <v>98</v>
      </c>
      <c r="AA125" s="4" t="s">
        <v>46</v>
      </c>
      <c r="AB125" s="5">
        <v>150</v>
      </c>
    </row>
    <row r="126" spans="1:28" ht="28.35" customHeight="1">
      <c r="A126" s="2" t="s">
        <v>28</v>
      </c>
      <c r="B126" s="2" t="s">
        <v>29</v>
      </c>
      <c r="C126" s="3" t="s">
        <v>322</v>
      </c>
      <c r="D126" s="3" t="s">
        <v>587</v>
      </c>
      <c r="E126" s="2" t="s">
        <v>588</v>
      </c>
      <c r="F126" s="2" t="s">
        <v>589</v>
      </c>
      <c r="G126" s="2" t="s">
        <v>590</v>
      </c>
      <c r="H126" s="2" t="s">
        <v>35</v>
      </c>
      <c r="I126" s="3" t="s">
        <v>36</v>
      </c>
      <c r="J126" s="3" t="s">
        <v>82</v>
      </c>
      <c r="K126" s="2" t="s">
        <v>38</v>
      </c>
      <c r="L126" s="2"/>
      <c r="M126" s="2" t="s">
        <v>39</v>
      </c>
      <c r="N126" s="3" t="s">
        <v>595</v>
      </c>
      <c r="O126" s="2" t="s">
        <v>219</v>
      </c>
      <c r="P126" s="2">
        <v>2026</v>
      </c>
      <c r="Q126" s="2">
        <v>3</v>
      </c>
      <c r="R126" s="2" t="s">
        <v>419</v>
      </c>
      <c r="S126" s="2" t="s">
        <v>596</v>
      </c>
      <c r="T126" s="4" t="s">
        <v>87</v>
      </c>
      <c r="U126" s="4" t="s">
        <v>60</v>
      </c>
      <c r="V126" s="4" t="s">
        <v>46</v>
      </c>
      <c r="W126" s="4" t="s">
        <v>47</v>
      </c>
      <c r="X126" s="4" t="s">
        <v>49</v>
      </c>
      <c r="Y126" s="4" t="s">
        <v>49</v>
      </c>
      <c r="Z126" s="4" t="s">
        <v>50</v>
      </c>
      <c r="AA126" s="4" t="s">
        <v>46</v>
      </c>
      <c r="AB126" s="5">
        <v>105</v>
      </c>
    </row>
    <row r="127" spans="1:28" ht="28.35" customHeight="1">
      <c r="A127" s="2" t="s">
        <v>28</v>
      </c>
      <c r="B127" s="2" t="s">
        <v>29</v>
      </c>
      <c r="C127" s="3" t="s">
        <v>352</v>
      </c>
      <c r="D127" s="3" t="s">
        <v>353</v>
      </c>
      <c r="E127" s="2" t="s">
        <v>597</v>
      </c>
      <c r="F127" s="2" t="s">
        <v>598</v>
      </c>
      <c r="G127" s="2" t="s">
        <v>599</v>
      </c>
      <c r="H127" s="2" t="s">
        <v>35</v>
      </c>
      <c r="I127" s="3" t="s">
        <v>36</v>
      </c>
      <c r="J127" s="3" t="s">
        <v>82</v>
      </c>
      <c r="K127" s="2" t="s">
        <v>38</v>
      </c>
      <c r="L127" s="2" t="s">
        <v>600</v>
      </c>
      <c r="M127" s="2" t="s">
        <v>39</v>
      </c>
      <c r="N127" s="3" t="s">
        <v>601</v>
      </c>
      <c r="O127" s="2" t="s">
        <v>74</v>
      </c>
      <c r="P127" s="2">
        <v>2026</v>
      </c>
      <c r="Q127" s="2">
        <v>6</v>
      </c>
      <c r="R127" s="2" t="s">
        <v>58</v>
      </c>
      <c r="S127" s="2" t="s">
        <v>602</v>
      </c>
      <c r="T127" s="4" t="s">
        <v>87</v>
      </c>
      <c r="U127" s="4" t="s">
        <v>46</v>
      </c>
      <c r="V127" s="4" t="s">
        <v>46</v>
      </c>
      <c r="W127" s="4" t="s">
        <v>49</v>
      </c>
      <c r="X127" s="4" t="s">
        <v>49</v>
      </c>
      <c r="Y127" s="4" t="s">
        <v>49</v>
      </c>
      <c r="Z127" s="4" t="s">
        <v>98</v>
      </c>
      <c r="AA127" s="4" t="s">
        <v>46</v>
      </c>
      <c r="AB127" s="5">
        <v>150</v>
      </c>
    </row>
    <row r="128" spans="1:28" ht="28.35" customHeight="1">
      <c r="A128" s="2" t="s">
        <v>28</v>
      </c>
      <c r="B128" s="2" t="s">
        <v>29</v>
      </c>
      <c r="C128" s="3" t="s">
        <v>352</v>
      </c>
      <c r="D128" s="3" t="s">
        <v>353</v>
      </c>
      <c r="E128" s="2" t="s">
        <v>597</v>
      </c>
      <c r="F128" s="2" t="s">
        <v>598</v>
      </c>
      <c r="G128" s="2" t="s">
        <v>599</v>
      </c>
      <c r="H128" s="2" t="s">
        <v>35</v>
      </c>
      <c r="I128" s="3" t="s">
        <v>36</v>
      </c>
      <c r="J128" s="3" t="s">
        <v>82</v>
      </c>
      <c r="K128" s="2" t="s">
        <v>38</v>
      </c>
      <c r="L128" s="2"/>
      <c r="M128" s="2" t="s">
        <v>39</v>
      </c>
      <c r="N128" s="3" t="s">
        <v>603</v>
      </c>
      <c r="O128" s="2" t="s">
        <v>74</v>
      </c>
      <c r="P128" s="2">
        <v>2026</v>
      </c>
      <c r="Q128" s="2">
        <v>6</v>
      </c>
      <c r="R128" s="2" t="s">
        <v>75</v>
      </c>
      <c r="S128" s="2" t="s">
        <v>392</v>
      </c>
      <c r="T128" s="4" t="s">
        <v>87</v>
      </c>
      <c r="U128" s="4" t="s">
        <v>47</v>
      </c>
      <c r="V128" s="4" t="s">
        <v>47</v>
      </c>
      <c r="W128" s="4" t="s">
        <v>49</v>
      </c>
      <c r="X128" s="4" t="s">
        <v>49</v>
      </c>
      <c r="Y128" s="4" t="s">
        <v>49</v>
      </c>
      <c r="Z128" s="4" t="s">
        <v>50</v>
      </c>
      <c r="AA128" s="4" t="s">
        <v>46</v>
      </c>
      <c r="AB128" s="5">
        <v>105</v>
      </c>
    </row>
    <row r="129" spans="1:28" ht="28.35" customHeight="1">
      <c r="A129" s="2" t="s">
        <v>28</v>
      </c>
      <c r="B129" s="2" t="s">
        <v>29</v>
      </c>
      <c r="C129" s="3" t="s">
        <v>190</v>
      </c>
      <c r="D129" s="3" t="s">
        <v>191</v>
      </c>
      <c r="E129" s="2" t="s">
        <v>604</v>
      </c>
      <c r="F129" s="2" t="s">
        <v>605</v>
      </c>
      <c r="G129" s="2" t="s">
        <v>34</v>
      </c>
      <c r="H129" s="2" t="s">
        <v>35</v>
      </c>
      <c r="I129" s="3" t="s">
        <v>36</v>
      </c>
      <c r="J129" s="3" t="s">
        <v>37</v>
      </c>
      <c r="K129" s="2" t="s">
        <v>38</v>
      </c>
      <c r="L129" s="2"/>
      <c r="M129" s="2" t="s">
        <v>39</v>
      </c>
      <c r="N129" s="3" t="s">
        <v>606</v>
      </c>
      <c r="O129" s="2" t="s">
        <v>607</v>
      </c>
      <c r="P129" s="2">
        <v>2026</v>
      </c>
      <c r="Q129" s="2">
        <v>4</v>
      </c>
      <c r="R129" s="2" t="s">
        <v>608</v>
      </c>
      <c r="S129" s="2" t="s">
        <v>609</v>
      </c>
      <c r="T129" s="4" t="s">
        <v>44</v>
      </c>
      <c r="U129" s="4" t="s">
        <v>109</v>
      </c>
      <c r="V129" s="4" t="s">
        <v>46</v>
      </c>
      <c r="W129" s="4" t="s">
        <v>49</v>
      </c>
      <c r="X129" s="4" t="s">
        <v>60</v>
      </c>
      <c r="Y129" s="4" t="s">
        <v>49</v>
      </c>
      <c r="Z129" s="4" t="s">
        <v>50</v>
      </c>
      <c r="AA129" s="4" t="s">
        <v>46</v>
      </c>
      <c r="AB129" s="5">
        <v>210</v>
      </c>
    </row>
    <row r="130" spans="1:28" ht="28.35" customHeight="1">
      <c r="A130" s="2" t="s">
        <v>28</v>
      </c>
      <c r="B130" s="2" t="s">
        <v>29</v>
      </c>
      <c r="C130" s="3" t="s">
        <v>206</v>
      </c>
      <c r="D130" s="3" t="s">
        <v>464</v>
      </c>
      <c r="E130" s="2" t="s">
        <v>610</v>
      </c>
      <c r="F130" s="2" t="s">
        <v>611</v>
      </c>
      <c r="G130" s="2" t="s">
        <v>404</v>
      </c>
      <c r="H130" s="2"/>
      <c r="I130" s="3" t="s">
        <v>114</v>
      </c>
      <c r="J130" s="3" t="s">
        <v>612</v>
      </c>
      <c r="K130" s="2" t="s">
        <v>38</v>
      </c>
      <c r="L130" s="2" t="s">
        <v>167</v>
      </c>
      <c r="M130" s="2" t="s">
        <v>39</v>
      </c>
      <c r="N130" s="3" t="s">
        <v>613</v>
      </c>
      <c r="O130" s="2" t="s">
        <v>84</v>
      </c>
      <c r="P130" s="2">
        <v>2026</v>
      </c>
      <c r="Q130" s="2">
        <v>3</v>
      </c>
      <c r="R130" s="2" t="s">
        <v>119</v>
      </c>
      <c r="S130" s="2"/>
      <c r="T130" s="4" t="s">
        <v>614</v>
      </c>
      <c r="U130" s="4" t="s">
        <v>46</v>
      </c>
      <c r="V130" s="4" t="s">
        <v>46</v>
      </c>
      <c r="W130" s="4" t="s">
        <v>49</v>
      </c>
      <c r="X130" s="4" t="s">
        <v>49</v>
      </c>
      <c r="Y130" s="4" t="s">
        <v>49</v>
      </c>
      <c r="Z130" s="4" t="s">
        <v>98</v>
      </c>
      <c r="AA130" s="4" t="s">
        <v>46</v>
      </c>
      <c r="AB130" s="5">
        <v>50</v>
      </c>
    </row>
    <row r="131" spans="1:28" ht="28.35" customHeight="1">
      <c r="A131" s="2" t="s">
        <v>28</v>
      </c>
      <c r="B131" s="2" t="s">
        <v>29</v>
      </c>
      <c r="C131" s="3" t="s">
        <v>206</v>
      </c>
      <c r="D131" s="3" t="s">
        <v>464</v>
      </c>
      <c r="E131" s="2" t="s">
        <v>610</v>
      </c>
      <c r="F131" s="2" t="s">
        <v>611</v>
      </c>
      <c r="G131" s="2" t="s">
        <v>404</v>
      </c>
      <c r="H131" s="2" t="s">
        <v>240</v>
      </c>
      <c r="I131" s="3" t="s">
        <v>36</v>
      </c>
      <c r="J131" s="3" t="s">
        <v>82</v>
      </c>
      <c r="K131" s="2" t="s">
        <v>38</v>
      </c>
      <c r="L131" s="2"/>
      <c r="M131" s="2" t="s">
        <v>39</v>
      </c>
      <c r="N131" s="3" t="s">
        <v>615</v>
      </c>
      <c r="O131" s="2" t="s">
        <v>96</v>
      </c>
      <c r="P131" s="2">
        <v>2026</v>
      </c>
      <c r="Q131" s="2">
        <v>4</v>
      </c>
      <c r="R131" s="2" t="s">
        <v>580</v>
      </c>
      <c r="S131" s="2" t="s">
        <v>616</v>
      </c>
      <c r="T131" s="4" t="s">
        <v>87</v>
      </c>
      <c r="U131" s="4" t="s">
        <v>46</v>
      </c>
      <c r="V131" s="4" t="s">
        <v>46</v>
      </c>
      <c r="W131" s="4" t="s">
        <v>49</v>
      </c>
      <c r="X131" s="4" t="s">
        <v>49</v>
      </c>
      <c r="Y131" s="4" t="s">
        <v>49</v>
      </c>
      <c r="Z131" s="4" t="s">
        <v>98</v>
      </c>
      <c r="AA131" s="4" t="s">
        <v>46</v>
      </c>
      <c r="AB131" s="5">
        <v>150</v>
      </c>
    </row>
    <row r="132" spans="1:28" ht="28.35" customHeight="1">
      <c r="A132" s="2" t="s">
        <v>28</v>
      </c>
      <c r="B132" s="2" t="s">
        <v>29</v>
      </c>
      <c r="C132" s="3" t="s">
        <v>206</v>
      </c>
      <c r="D132" s="3" t="s">
        <v>464</v>
      </c>
      <c r="E132" s="2" t="s">
        <v>610</v>
      </c>
      <c r="F132" s="2" t="s">
        <v>611</v>
      </c>
      <c r="G132" s="2" t="s">
        <v>404</v>
      </c>
      <c r="H132" s="2" t="s">
        <v>35</v>
      </c>
      <c r="I132" s="3" t="s">
        <v>36</v>
      </c>
      <c r="J132" s="3" t="s">
        <v>82</v>
      </c>
      <c r="K132" s="2" t="s">
        <v>38</v>
      </c>
      <c r="L132" s="2"/>
      <c r="M132" s="2" t="s">
        <v>39</v>
      </c>
      <c r="N132" s="3" t="s">
        <v>617</v>
      </c>
      <c r="O132" s="2" t="s">
        <v>337</v>
      </c>
      <c r="P132" s="2">
        <v>2026</v>
      </c>
      <c r="Q132" s="2">
        <v>3</v>
      </c>
      <c r="R132" s="2" t="s">
        <v>618</v>
      </c>
      <c r="S132" s="2" t="s">
        <v>619</v>
      </c>
      <c r="T132" s="4" t="s">
        <v>87</v>
      </c>
      <c r="U132" s="4" t="s">
        <v>46</v>
      </c>
      <c r="V132" s="4" t="s">
        <v>46</v>
      </c>
      <c r="W132" s="4" t="s">
        <v>49</v>
      </c>
      <c r="X132" s="4" t="s">
        <v>49</v>
      </c>
      <c r="Y132" s="4" t="s">
        <v>49</v>
      </c>
      <c r="Z132" s="4" t="s">
        <v>98</v>
      </c>
      <c r="AA132" s="4" t="s">
        <v>46</v>
      </c>
      <c r="AB132" s="5">
        <v>150</v>
      </c>
    </row>
    <row r="133" spans="1:28" ht="28.35" customHeight="1">
      <c r="A133" s="2" t="s">
        <v>28</v>
      </c>
      <c r="B133" s="2" t="s">
        <v>29</v>
      </c>
      <c r="C133" s="3" t="s">
        <v>68</v>
      </c>
      <c r="D133" s="3" t="s">
        <v>620</v>
      </c>
      <c r="E133" s="2" t="s">
        <v>621</v>
      </c>
      <c r="F133" s="2" t="s">
        <v>622</v>
      </c>
      <c r="G133" s="2" t="s">
        <v>34</v>
      </c>
      <c r="H133" s="2" t="s">
        <v>35</v>
      </c>
      <c r="I133" s="3" t="s">
        <v>36</v>
      </c>
      <c r="J133" s="3" t="s">
        <v>37</v>
      </c>
      <c r="K133" s="2" t="s">
        <v>38</v>
      </c>
      <c r="L133" s="2"/>
      <c r="M133" s="2" t="s">
        <v>39</v>
      </c>
      <c r="N133" s="3" t="s">
        <v>623</v>
      </c>
      <c r="O133" s="2" t="s">
        <v>74</v>
      </c>
      <c r="P133" s="2">
        <v>2026</v>
      </c>
      <c r="Q133" s="2">
        <v>6</v>
      </c>
      <c r="R133" s="2" t="s">
        <v>100</v>
      </c>
      <c r="S133" s="2" t="s">
        <v>624</v>
      </c>
      <c r="T133" s="4" t="s">
        <v>44</v>
      </c>
      <c r="U133" s="4" t="s">
        <v>47</v>
      </c>
      <c r="V133" s="4" t="s">
        <v>47</v>
      </c>
      <c r="W133" s="4" t="s">
        <v>49</v>
      </c>
      <c r="X133" s="4" t="s">
        <v>49</v>
      </c>
      <c r="Y133" s="4" t="s">
        <v>49</v>
      </c>
      <c r="Z133" s="4" t="s">
        <v>50</v>
      </c>
      <c r="AA133" s="4" t="s">
        <v>46</v>
      </c>
      <c r="AB133" s="5">
        <v>210</v>
      </c>
    </row>
    <row r="134" spans="1:28" ht="28.35" customHeight="1">
      <c r="A134" s="2" t="s">
        <v>28</v>
      </c>
      <c r="B134" s="2" t="s">
        <v>29</v>
      </c>
      <c r="C134" s="3" t="s">
        <v>68</v>
      </c>
      <c r="D134" s="3" t="s">
        <v>620</v>
      </c>
      <c r="E134" s="2" t="s">
        <v>621</v>
      </c>
      <c r="F134" s="2" t="s">
        <v>622</v>
      </c>
      <c r="G134" s="2" t="s">
        <v>34</v>
      </c>
      <c r="H134" s="2" t="s">
        <v>35</v>
      </c>
      <c r="I134" s="3" t="s">
        <v>36</v>
      </c>
      <c r="J134" s="3" t="s">
        <v>37</v>
      </c>
      <c r="K134" s="2" t="s">
        <v>72</v>
      </c>
      <c r="L134" s="2"/>
      <c r="M134" s="2" t="s">
        <v>39</v>
      </c>
      <c r="N134" s="3" t="s">
        <v>625</v>
      </c>
      <c r="O134" s="2" t="s">
        <v>195</v>
      </c>
      <c r="P134" s="2">
        <v>2026</v>
      </c>
      <c r="Q134" s="2">
        <v>8</v>
      </c>
      <c r="R134" s="2" t="s">
        <v>100</v>
      </c>
      <c r="S134" s="2" t="s">
        <v>626</v>
      </c>
      <c r="T134" s="4" t="s">
        <v>44</v>
      </c>
      <c r="U134" s="4" t="s">
        <v>88</v>
      </c>
      <c r="V134" s="4" t="s">
        <v>47</v>
      </c>
      <c r="W134" s="4" t="s">
        <v>109</v>
      </c>
      <c r="X134" s="4" t="s">
        <v>49</v>
      </c>
      <c r="Y134" s="4" t="s">
        <v>49</v>
      </c>
      <c r="Z134" s="4" t="s">
        <v>379</v>
      </c>
      <c r="AA134" s="4" t="s">
        <v>46</v>
      </c>
      <c r="AB134" s="5">
        <v>50</v>
      </c>
    </row>
    <row r="135" spans="1:28" ht="28.35" customHeight="1">
      <c r="A135" s="2" t="s">
        <v>28</v>
      </c>
      <c r="B135" s="2" t="s">
        <v>29</v>
      </c>
      <c r="C135" s="3" t="s">
        <v>68</v>
      </c>
      <c r="D135" s="3" t="s">
        <v>620</v>
      </c>
      <c r="E135" s="2" t="s">
        <v>621</v>
      </c>
      <c r="F135" s="2" t="s">
        <v>622</v>
      </c>
      <c r="G135" s="2" t="s">
        <v>34</v>
      </c>
      <c r="H135" s="2" t="s">
        <v>35</v>
      </c>
      <c r="I135" s="3" t="s">
        <v>36</v>
      </c>
      <c r="J135" s="3" t="s">
        <v>37</v>
      </c>
      <c r="K135" s="2" t="s">
        <v>38</v>
      </c>
      <c r="L135" s="2"/>
      <c r="M135" s="2" t="s">
        <v>39</v>
      </c>
      <c r="N135" s="3" t="s">
        <v>627</v>
      </c>
      <c r="O135" s="2" t="s">
        <v>628</v>
      </c>
      <c r="P135" s="2">
        <v>2026</v>
      </c>
      <c r="Q135" s="2">
        <v>4</v>
      </c>
      <c r="R135" s="2" t="s">
        <v>100</v>
      </c>
      <c r="S135" s="2" t="s">
        <v>629</v>
      </c>
      <c r="T135" s="4" t="s">
        <v>44</v>
      </c>
      <c r="U135" s="4" t="s">
        <v>256</v>
      </c>
      <c r="V135" s="4" t="s">
        <v>47</v>
      </c>
      <c r="W135" s="4" t="s">
        <v>88</v>
      </c>
      <c r="X135" s="4" t="s">
        <v>49</v>
      </c>
      <c r="Y135" s="4" t="s">
        <v>49</v>
      </c>
      <c r="Z135" s="4" t="s">
        <v>50</v>
      </c>
      <c r="AA135" s="4" t="s">
        <v>46</v>
      </c>
      <c r="AB135" s="5">
        <v>210</v>
      </c>
    </row>
    <row r="136" spans="1:28" ht="28.35" customHeight="1">
      <c r="A136" s="2" t="s">
        <v>28</v>
      </c>
      <c r="B136" s="2" t="s">
        <v>29</v>
      </c>
      <c r="C136" s="3" t="s">
        <v>68</v>
      </c>
      <c r="D136" s="3" t="s">
        <v>620</v>
      </c>
      <c r="E136" s="2" t="s">
        <v>621</v>
      </c>
      <c r="F136" s="2" t="s">
        <v>622</v>
      </c>
      <c r="G136" s="2" t="s">
        <v>34</v>
      </c>
      <c r="H136" s="2" t="s">
        <v>35</v>
      </c>
      <c r="I136" s="3" t="s">
        <v>36</v>
      </c>
      <c r="J136" s="3" t="s">
        <v>37</v>
      </c>
      <c r="K136" s="2" t="s">
        <v>72</v>
      </c>
      <c r="L136" s="2"/>
      <c r="M136" s="2" t="s">
        <v>39</v>
      </c>
      <c r="N136" s="3" t="s">
        <v>630</v>
      </c>
      <c r="O136" s="2" t="s">
        <v>57</v>
      </c>
      <c r="P136" s="2">
        <v>2026</v>
      </c>
      <c r="Q136" s="2">
        <v>4</v>
      </c>
      <c r="R136" s="2" t="s">
        <v>100</v>
      </c>
      <c r="S136" s="2" t="s">
        <v>631</v>
      </c>
      <c r="T136" s="4" t="s">
        <v>44</v>
      </c>
      <c r="U136" s="4" t="s">
        <v>88</v>
      </c>
      <c r="V136" s="4" t="s">
        <v>47</v>
      </c>
      <c r="W136" s="4" t="s">
        <v>109</v>
      </c>
      <c r="X136" s="4" t="s">
        <v>49</v>
      </c>
      <c r="Y136" s="4" t="s">
        <v>49</v>
      </c>
      <c r="Z136" s="4" t="s">
        <v>379</v>
      </c>
      <c r="AA136" s="4" t="s">
        <v>46</v>
      </c>
      <c r="AB136" s="5">
        <v>50</v>
      </c>
    </row>
    <row r="137" spans="1:28" ht="28.35" customHeight="1">
      <c r="A137" s="2" t="s">
        <v>28</v>
      </c>
      <c r="B137" s="2" t="s">
        <v>29</v>
      </c>
      <c r="C137" s="3" t="s">
        <v>68</v>
      </c>
      <c r="D137" s="3" t="s">
        <v>620</v>
      </c>
      <c r="E137" s="2" t="s">
        <v>621</v>
      </c>
      <c r="F137" s="2" t="s">
        <v>622</v>
      </c>
      <c r="G137" s="2" t="s">
        <v>34</v>
      </c>
      <c r="H137" s="2" t="s">
        <v>35</v>
      </c>
      <c r="I137" s="3" t="s">
        <v>36</v>
      </c>
      <c r="J137" s="3" t="s">
        <v>37</v>
      </c>
      <c r="K137" s="2" t="s">
        <v>38</v>
      </c>
      <c r="L137" s="2"/>
      <c r="M137" s="2" t="s">
        <v>39</v>
      </c>
      <c r="N137" s="3" t="s">
        <v>632</v>
      </c>
      <c r="O137" s="2" t="s">
        <v>420</v>
      </c>
      <c r="P137" s="2">
        <v>2026</v>
      </c>
      <c r="Q137" s="2">
        <v>5</v>
      </c>
      <c r="R137" s="2" t="s">
        <v>100</v>
      </c>
      <c r="S137" s="2" t="s">
        <v>633</v>
      </c>
      <c r="T137" s="4" t="s">
        <v>44</v>
      </c>
      <c r="U137" s="4" t="s">
        <v>77</v>
      </c>
      <c r="V137" s="4" t="s">
        <v>47</v>
      </c>
      <c r="W137" s="4" t="s">
        <v>60</v>
      </c>
      <c r="X137" s="4" t="s">
        <v>49</v>
      </c>
      <c r="Y137" s="4" t="s">
        <v>49</v>
      </c>
      <c r="Z137" s="4" t="s">
        <v>50</v>
      </c>
      <c r="AA137" s="4" t="s">
        <v>46</v>
      </c>
      <c r="AB137" s="5">
        <v>210</v>
      </c>
    </row>
    <row r="138" spans="1:28" ht="28.35" customHeight="1">
      <c r="A138" s="2" t="s">
        <v>28</v>
      </c>
      <c r="B138" s="2" t="s">
        <v>29</v>
      </c>
      <c r="C138" s="3" t="s">
        <v>138</v>
      </c>
      <c r="D138" s="3" t="s">
        <v>571</v>
      </c>
      <c r="E138" s="2" t="s">
        <v>634</v>
      </c>
      <c r="F138" s="2" t="s">
        <v>635</v>
      </c>
      <c r="G138" s="2" t="s">
        <v>599</v>
      </c>
      <c r="H138" s="2" t="s">
        <v>35</v>
      </c>
      <c r="I138" s="3" t="s">
        <v>36</v>
      </c>
      <c r="J138" s="3" t="s">
        <v>82</v>
      </c>
      <c r="K138" s="2" t="s">
        <v>38</v>
      </c>
      <c r="L138" s="2"/>
      <c r="M138" s="2" t="s">
        <v>39</v>
      </c>
      <c r="N138" s="3" t="s">
        <v>636</v>
      </c>
      <c r="O138" s="2" t="s">
        <v>183</v>
      </c>
      <c r="P138" s="2">
        <v>2026</v>
      </c>
      <c r="Q138" s="2">
        <v>5</v>
      </c>
      <c r="R138" s="2" t="s">
        <v>637</v>
      </c>
      <c r="S138" s="2" t="s">
        <v>638</v>
      </c>
      <c r="T138" s="4" t="s">
        <v>87</v>
      </c>
      <c r="U138" s="4" t="s">
        <v>46</v>
      </c>
      <c r="V138" s="4" t="s">
        <v>46</v>
      </c>
      <c r="W138" s="4" t="s">
        <v>49</v>
      </c>
      <c r="X138" s="4" t="s">
        <v>49</v>
      </c>
      <c r="Y138" s="4" t="s">
        <v>49</v>
      </c>
      <c r="Z138" s="4" t="s">
        <v>98</v>
      </c>
      <c r="AA138" s="4" t="s">
        <v>46</v>
      </c>
      <c r="AB138" s="5">
        <v>150</v>
      </c>
    </row>
    <row r="139" spans="1:28" ht="28.35" customHeight="1">
      <c r="A139" s="2" t="s">
        <v>28</v>
      </c>
      <c r="B139" s="2" t="s">
        <v>29</v>
      </c>
      <c r="C139" s="3" t="s">
        <v>138</v>
      </c>
      <c r="D139" s="3" t="s">
        <v>571</v>
      </c>
      <c r="E139" s="2" t="s">
        <v>634</v>
      </c>
      <c r="F139" s="2" t="s">
        <v>635</v>
      </c>
      <c r="G139" s="2" t="s">
        <v>599</v>
      </c>
      <c r="H139" s="2" t="s">
        <v>35</v>
      </c>
      <c r="I139" s="3" t="s">
        <v>36</v>
      </c>
      <c r="J139" s="3" t="s">
        <v>82</v>
      </c>
      <c r="K139" s="2" t="s">
        <v>38</v>
      </c>
      <c r="L139" s="2"/>
      <c r="M139" s="2" t="s">
        <v>39</v>
      </c>
      <c r="N139" s="3" t="s">
        <v>639</v>
      </c>
      <c r="O139" s="2" t="s">
        <v>640</v>
      </c>
      <c r="P139" s="2">
        <v>2026</v>
      </c>
      <c r="Q139" s="2">
        <v>5</v>
      </c>
      <c r="R139" s="2" t="s">
        <v>129</v>
      </c>
      <c r="S139" s="2" t="s">
        <v>401</v>
      </c>
      <c r="T139" s="4" t="s">
        <v>87</v>
      </c>
      <c r="U139" s="4" t="s">
        <v>46</v>
      </c>
      <c r="V139" s="4" t="s">
        <v>46</v>
      </c>
      <c r="W139" s="4" t="s">
        <v>49</v>
      </c>
      <c r="X139" s="4" t="s">
        <v>49</v>
      </c>
      <c r="Y139" s="4" t="s">
        <v>49</v>
      </c>
      <c r="Z139" s="4" t="s">
        <v>98</v>
      </c>
      <c r="AA139" s="4" t="s">
        <v>46</v>
      </c>
      <c r="AB139" s="5">
        <v>150</v>
      </c>
    </row>
    <row r="140" spans="1:28" ht="28.35" customHeight="1">
      <c r="A140" s="2" t="s">
        <v>28</v>
      </c>
      <c r="B140" s="2" t="s">
        <v>29</v>
      </c>
      <c r="C140" s="3" t="s">
        <v>138</v>
      </c>
      <c r="D140" s="3" t="s">
        <v>571</v>
      </c>
      <c r="E140" s="2" t="s">
        <v>634</v>
      </c>
      <c r="F140" s="2" t="s">
        <v>635</v>
      </c>
      <c r="G140" s="2" t="s">
        <v>599</v>
      </c>
      <c r="H140" s="2" t="s">
        <v>35</v>
      </c>
      <c r="I140" s="3" t="s">
        <v>36</v>
      </c>
      <c r="J140" s="3" t="s">
        <v>82</v>
      </c>
      <c r="K140" s="2" t="s">
        <v>38</v>
      </c>
      <c r="L140" s="2"/>
      <c r="M140" s="2" t="s">
        <v>39</v>
      </c>
      <c r="N140" s="3" t="s">
        <v>641</v>
      </c>
      <c r="O140" s="2" t="s">
        <v>642</v>
      </c>
      <c r="P140" s="2">
        <v>2026</v>
      </c>
      <c r="Q140" s="2">
        <v>6</v>
      </c>
      <c r="R140" s="2" t="s">
        <v>75</v>
      </c>
      <c r="S140" s="2" t="s">
        <v>375</v>
      </c>
      <c r="T140" s="4" t="s">
        <v>87</v>
      </c>
      <c r="U140" s="4" t="s">
        <v>46</v>
      </c>
      <c r="V140" s="4" t="s">
        <v>46</v>
      </c>
      <c r="W140" s="4" t="s">
        <v>49</v>
      </c>
      <c r="X140" s="4" t="s">
        <v>49</v>
      </c>
      <c r="Y140" s="4" t="s">
        <v>49</v>
      </c>
      <c r="Z140" s="4" t="s">
        <v>98</v>
      </c>
      <c r="AA140" s="4" t="s">
        <v>46</v>
      </c>
      <c r="AB140" s="5">
        <v>150</v>
      </c>
    </row>
    <row r="141" spans="1:28" ht="28.35" customHeight="1">
      <c r="A141" s="2" t="s">
        <v>28</v>
      </c>
      <c r="B141" s="2" t="s">
        <v>29</v>
      </c>
      <c r="C141" s="3" t="s">
        <v>206</v>
      </c>
      <c r="D141" s="3" t="s">
        <v>643</v>
      </c>
      <c r="E141" s="2" t="s">
        <v>644</v>
      </c>
      <c r="F141" s="2" t="s">
        <v>645</v>
      </c>
      <c r="G141" s="2" t="s">
        <v>599</v>
      </c>
      <c r="H141" s="2"/>
      <c r="I141" s="3" t="s">
        <v>114</v>
      </c>
      <c r="J141" s="3" t="s">
        <v>520</v>
      </c>
      <c r="K141" s="2" t="s">
        <v>72</v>
      </c>
      <c r="L141" s="2"/>
      <c r="M141" s="2" t="s">
        <v>39</v>
      </c>
      <c r="N141" s="3" t="s">
        <v>646</v>
      </c>
      <c r="O141" s="2" t="s">
        <v>247</v>
      </c>
      <c r="P141" s="2">
        <v>2026</v>
      </c>
      <c r="Q141" s="2">
        <v>4</v>
      </c>
      <c r="R141" s="2" t="s">
        <v>119</v>
      </c>
      <c r="S141" s="2"/>
      <c r="T141" s="4" t="s">
        <v>523</v>
      </c>
      <c r="U141" s="4" t="s">
        <v>121</v>
      </c>
      <c r="V141" s="4" t="s">
        <v>49</v>
      </c>
      <c r="W141" s="4" t="s">
        <v>88</v>
      </c>
      <c r="X141" s="4" t="s">
        <v>49</v>
      </c>
      <c r="Y141" s="4" t="s">
        <v>46</v>
      </c>
      <c r="Z141" s="4" t="s">
        <v>379</v>
      </c>
      <c r="AA141" s="4" t="s">
        <v>46</v>
      </c>
      <c r="AB141" s="5">
        <v>33</v>
      </c>
    </row>
    <row r="142" spans="1:28" ht="28.35" customHeight="1">
      <c r="A142" s="2" t="s">
        <v>28</v>
      </c>
      <c r="B142" s="2" t="s">
        <v>29</v>
      </c>
      <c r="C142" s="3" t="s">
        <v>206</v>
      </c>
      <c r="D142" s="3" t="s">
        <v>207</v>
      </c>
      <c r="E142" s="2" t="s">
        <v>647</v>
      </c>
      <c r="F142" s="2" t="s">
        <v>648</v>
      </c>
      <c r="G142" s="2" t="s">
        <v>599</v>
      </c>
      <c r="H142" s="2" t="s">
        <v>35</v>
      </c>
      <c r="I142" s="3" t="s">
        <v>36</v>
      </c>
      <c r="J142" s="3" t="s">
        <v>279</v>
      </c>
      <c r="K142" s="2" t="s">
        <v>38</v>
      </c>
      <c r="L142" s="2"/>
      <c r="M142" s="2" t="s">
        <v>39</v>
      </c>
      <c r="N142" s="3" t="s">
        <v>649</v>
      </c>
      <c r="O142" s="2" t="s">
        <v>219</v>
      </c>
      <c r="P142" s="2">
        <v>2026</v>
      </c>
      <c r="Q142" s="2">
        <v>3</v>
      </c>
      <c r="R142" s="2" t="s">
        <v>107</v>
      </c>
      <c r="S142" s="2" t="s">
        <v>650</v>
      </c>
      <c r="T142" s="4" t="s">
        <v>87</v>
      </c>
      <c r="U142" s="4" t="s">
        <v>46</v>
      </c>
      <c r="V142" s="4" t="s">
        <v>46</v>
      </c>
      <c r="W142" s="4" t="s">
        <v>49</v>
      </c>
      <c r="X142" s="4" t="s">
        <v>49</v>
      </c>
      <c r="Y142" s="4" t="s">
        <v>49</v>
      </c>
      <c r="Z142" s="4" t="s">
        <v>98</v>
      </c>
      <c r="AA142" s="4" t="s">
        <v>46</v>
      </c>
      <c r="AB142" s="5">
        <v>150</v>
      </c>
    </row>
    <row r="143" spans="1:28" ht="28.35" customHeight="1">
      <c r="A143" s="2" t="s">
        <v>28</v>
      </c>
      <c r="B143" s="2" t="s">
        <v>29</v>
      </c>
      <c r="C143" s="3" t="s">
        <v>206</v>
      </c>
      <c r="D143" s="3" t="s">
        <v>207</v>
      </c>
      <c r="E143" s="2" t="s">
        <v>647</v>
      </c>
      <c r="F143" s="2" t="s">
        <v>648</v>
      </c>
      <c r="G143" s="2" t="s">
        <v>599</v>
      </c>
      <c r="H143" s="2" t="s">
        <v>35</v>
      </c>
      <c r="I143" s="3" t="s">
        <v>36</v>
      </c>
      <c r="J143" s="3" t="s">
        <v>82</v>
      </c>
      <c r="K143" s="2" t="s">
        <v>38</v>
      </c>
      <c r="L143" s="2" t="s">
        <v>651</v>
      </c>
      <c r="M143" s="2" t="s">
        <v>39</v>
      </c>
      <c r="N143" s="3" t="s">
        <v>652</v>
      </c>
      <c r="O143" s="2" t="s">
        <v>219</v>
      </c>
      <c r="P143" s="2">
        <v>2026</v>
      </c>
      <c r="Q143" s="2">
        <v>3</v>
      </c>
      <c r="R143" s="2" t="s">
        <v>327</v>
      </c>
      <c r="S143" s="2" t="s">
        <v>248</v>
      </c>
      <c r="T143" s="4" t="s">
        <v>87</v>
      </c>
      <c r="U143" s="4" t="s">
        <v>46</v>
      </c>
      <c r="V143" s="4" t="s">
        <v>46</v>
      </c>
      <c r="W143" s="4" t="s">
        <v>49</v>
      </c>
      <c r="X143" s="4" t="s">
        <v>49</v>
      </c>
      <c r="Y143" s="4" t="s">
        <v>49</v>
      </c>
      <c r="Z143" s="4" t="s">
        <v>98</v>
      </c>
      <c r="AA143" s="4" t="s">
        <v>46</v>
      </c>
      <c r="AB143" s="5">
        <v>150</v>
      </c>
    </row>
    <row r="144" spans="1:28" ht="28.35" customHeight="1">
      <c r="A144" s="2" t="s">
        <v>28</v>
      </c>
      <c r="B144" s="2" t="s">
        <v>29</v>
      </c>
      <c r="C144" s="3" t="s">
        <v>138</v>
      </c>
      <c r="D144" s="3" t="s">
        <v>474</v>
      </c>
      <c r="E144" s="2" t="s">
        <v>653</v>
      </c>
      <c r="F144" s="2" t="s">
        <v>654</v>
      </c>
      <c r="G144" s="2" t="s">
        <v>599</v>
      </c>
      <c r="H144" s="2"/>
      <c r="I144" s="3" t="s">
        <v>114</v>
      </c>
      <c r="J144" s="3" t="s">
        <v>115</v>
      </c>
      <c r="K144" s="2" t="s">
        <v>72</v>
      </c>
      <c r="L144" s="2" t="s">
        <v>167</v>
      </c>
      <c r="M144" s="2" t="s">
        <v>39</v>
      </c>
      <c r="N144" s="3" t="s">
        <v>655</v>
      </c>
      <c r="O144" s="2" t="s">
        <v>96</v>
      </c>
      <c r="P144" s="2">
        <v>2026</v>
      </c>
      <c r="Q144" s="2">
        <v>4</v>
      </c>
      <c r="R144" s="2" t="s">
        <v>119</v>
      </c>
      <c r="S144" s="2"/>
      <c r="T144" s="4" t="s">
        <v>120</v>
      </c>
      <c r="U144" s="4" t="s">
        <v>47</v>
      </c>
      <c r="V144" s="4" t="s">
        <v>49</v>
      </c>
      <c r="W144" s="4" t="s">
        <v>47</v>
      </c>
      <c r="X144" s="4" t="s">
        <v>49</v>
      </c>
      <c r="Y144" s="4" t="s">
        <v>49</v>
      </c>
      <c r="Z144" s="4" t="s">
        <v>295</v>
      </c>
      <c r="AA144" s="4" t="s">
        <v>46</v>
      </c>
      <c r="AB144" s="5">
        <v>50</v>
      </c>
    </row>
    <row r="145" spans="1:28" ht="28.35" customHeight="1">
      <c r="A145" s="2" t="s">
        <v>28</v>
      </c>
      <c r="B145" s="2" t="s">
        <v>29</v>
      </c>
      <c r="C145" s="3" t="s">
        <v>138</v>
      </c>
      <c r="D145" s="3" t="s">
        <v>474</v>
      </c>
      <c r="E145" s="2" t="s">
        <v>653</v>
      </c>
      <c r="F145" s="2" t="s">
        <v>654</v>
      </c>
      <c r="G145" s="2" t="s">
        <v>599</v>
      </c>
      <c r="H145" s="2" t="s">
        <v>35</v>
      </c>
      <c r="I145" s="3" t="s">
        <v>36</v>
      </c>
      <c r="J145" s="3" t="s">
        <v>82</v>
      </c>
      <c r="K145" s="2" t="s">
        <v>38</v>
      </c>
      <c r="L145" s="2"/>
      <c r="M145" s="2" t="s">
        <v>39</v>
      </c>
      <c r="N145" s="3" t="s">
        <v>656</v>
      </c>
      <c r="O145" s="2" t="s">
        <v>74</v>
      </c>
      <c r="P145" s="2">
        <v>2026</v>
      </c>
      <c r="Q145" s="2">
        <v>6</v>
      </c>
      <c r="R145" s="2" t="s">
        <v>75</v>
      </c>
      <c r="S145" s="2" t="s">
        <v>657</v>
      </c>
      <c r="T145" s="4" t="s">
        <v>87</v>
      </c>
      <c r="U145" s="4" t="s">
        <v>47</v>
      </c>
      <c r="V145" s="4" t="s">
        <v>47</v>
      </c>
      <c r="W145" s="4" t="s">
        <v>49</v>
      </c>
      <c r="X145" s="4" t="s">
        <v>49</v>
      </c>
      <c r="Y145" s="4" t="s">
        <v>49</v>
      </c>
      <c r="Z145" s="4" t="s">
        <v>50</v>
      </c>
      <c r="AA145" s="4" t="s">
        <v>46</v>
      </c>
      <c r="AB145" s="5">
        <v>105</v>
      </c>
    </row>
    <row r="146" spans="1:28" ht="28.35" customHeight="1">
      <c r="A146" s="2" t="s">
        <v>28</v>
      </c>
      <c r="B146" s="2" t="s">
        <v>29</v>
      </c>
      <c r="C146" s="3" t="s">
        <v>352</v>
      </c>
      <c r="D146" s="3" t="s">
        <v>353</v>
      </c>
      <c r="E146" s="2" t="s">
        <v>658</v>
      </c>
      <c r="F146" s="2" t="s">
        <v>659</v>
      </c>
      <c r="G146" s="2" t="s">
        <v>599</v>
      </c>
      <c r="H146" s="2" t="s">
        <v>35</v>
      </c>
      <c r="I146" s="3" t="s">
        <v>36</v>
      </c>
      <c r="J146" s="3" t="s">
        <v>82</v>
      </c>
      <c r="K146" s="2" t="s">
        <v>38</v>
      </c>
      <c r="L146" s="2"/>
      <c r="M146" s="2" t="s">
        <v>39</v>
      </c>
      <c r="N146" s="3" t="s">
        <v>660</v>
      </c>
      <c r="O146" s="2" t="s">
        <v>96</v>
      </c>
      <c r="P146" s="2">
        <v>2026</v>
      </c>
      <c r="Q146" s="2">
        <v>4</v>
      </c>
      <c r="R146" s="2" t="s">
        <v>281</v>
      </c>
      <c r="S146" s="2" t="s">
        <v>661</v>
      </c>
      <c r="T146" s="4" t="s">
        <v>87</v>
      </c>
      <c r="U146" s="4" t="s">
        <v>47</v>
      </c>
      <c r="V146" s="4" t="s">
        <v>46</v>
      </c>
      <c r="W146" s="4" t="s">
        <v>46</v>
      </c>
      <c r="X146" s="4" t="s">
        <v>49</v>
      </c>
      <c r="Y146" s="4" t="s">
        <v>49</v>
      </c>
      <c r="Z146" s="4" t="s">
        <v>50</v>
      </c>
      <c r="AA146" s="4" t="s">
        <v>46</v>
      </c>
      <c r="AB146" s="5">
        <v>105</v>
      </c>
    </row>
    <row r="147" spans="1:28" ht="28.35" customHeight="1">
      <c r="A147" s="2" t="s">
        <v>28</v>
      </c>
      <c r="B147" s="2" t="s">
        <v>29</v>
      </c>
      <c r="C147" s="3" t="s">
        <v>190</v>
      </c>
      <c r="D147" s="3" t="s">
        <v>662</v>
      </c>
      <c r="E147" s="2" t="s">
        <v>663</v>
      </c>
      <c r="F147" s="2" t="s">
        <v>664</v>
      </c>
      <c r="G147" s="2" t="s">
        <v>599</v>
      </c>
      <c r="H147" s="2" t="s">
        <v>35</v>
      </c>
      <c r="I147" s="3" t="s">
        <v>36</v>
      </c>
      <c r="J147" s="3" t="s">
        <v>279</v>
      </c>
      <c r="K147" s="2" t="s">
        <v>38</v>
      </c>
      <c r="L147" s="2"/>
      <c r="M147" s="2" t="s">
        <v>39</v>
      </c>
      <c r="N147" s="3" t="s">
        <v>665</v>
      </c>
      <c r="O147" s="2" t="s">
        <v>129</v>
      </c>
      <c r="P147" s="2">
        <v>2026</v>
      </c>
      <c r="Q147" s="2">
        <v>6</v>
      </c>
      <c r="R147" s="2" t="s">
        <v>97</v>
      </c>
      <c r="S147" s="2" t="s">
        <v>666</v>
      </c>
      <c r="T147" s="4" t="s">
        <v>87</v>
      </c>
      <c r="U147" s="4" t="s">
        <v>109</v>
      </c>
      <c r="V147" s="4" t="s">
        <v>47</v>
      </c>
      <c r="W147" s="4" t="s">
        <v>47</v>
      </c>
      <c r="X147" s="4" t="s">
        <v>49</v>
      </c>
      <c r="Y147" s="4" t="s">
        <v>49</v>
      </c>
      <c r="Z147" s="4" t="s">
        <v>50</v>
      </c>
      <c r="AA147" s="4" t="s">
        <v>46</v>
      </c>
      <c r="AB147" s="5">
        <v>105</v>
      </c>
    </row>
    <row r="148" spans="1:28" ht="28.35" customHeight="1">
      <c r="A148" s="2" t="s">
        <v>28</v>
      </c>
      <c r="B148" s="2" t="s">
        <v>29</v>
      </c>
      <c r="C148" s="3" t="s">
        <v>190</v>
      </c>
      <c r="D148" s="3" t="s">
        <v>662</v>
      </c>
      <c r="E148" s="2" t="s">
        <v>663</v>
      </c>
      <c r="F148" s="2" t="s">
        <v>664</v>
      </c>
      <c r="G148" s="2" t="s">
        <v>599</v>
      </c>
      <c r="H148" s="2" t="s">
        <v>35</v>
      </c>
      <c r="I148" s="3" t="s">
        <v>36</v>
      </c>
      <c r="J148" s="3" t="s">
        <v>279</v>
      </c>
      <c r="K148" s="2" t="s">
        <v>38</v>
      </c>
      <c r="L148" s="2"/>
      <c r="M148" s="2" t="s">
        <v>39</v>
      </c>
      <c r="N148" s="3" t="s">
        <v>667</v>
      </c>
      <c r="O148" s="2" t="s">
        <v>173</v>
      </c>
      <c r="P148" s="2">
        <v>2026</v>
      </c>
      <c r="Q148" s="2">
        <v>4</v>
      </c>
      <c r="R148" s="2" t="s">
        <v>293</v>
      </c>
      <c r="S148" s="2" t="s">
        <v>668</v>
      </c>
      <c r="T148" s="4" t="s">
        <v>87</v>
      </c>
      <c r="U148" s="4" t="s">
        <v>47</v>
      </c>
      <c r="V148" s="4" t="s">
        <v>47</v>
      </c>
      <c r="W148" s="4" t="s">
        <v>49</v>
      </c>
      <c r="X148" s="4" t="s">
        <v>49</v>
      </c>
      <c r="Y148" s="4" t="s">
        <v>49</v>
      </c>
      <c r="Z148" s="4" t="s">
        <v>50</v>
      </c>
      <c r="AA148" s="4" t="s">
        <v>46</v>
      </c>
      <c r="AB148" s="5">
        <v>105</v>
      </c>
    </row>
    <row r="149" spans="1:28" ht="28.35" customHeight="1">
      <c r="A149" s="2" t="s">
        <v>28</v>
      </c>
      <c r="B149" s="2" t="s">
        <v>29</v>
      </c>
      <c r="C149" s="3" t="s">
        <v>190</v>
      </c>
      <c r="D149" s="3" t="s">
        <v>662</v>
      </c>
      <c r="E149" s="2" t="s">
        <v>663</v>
      </c>
      <c r="F149" s="2" t="s">
        <v>664</v>
      </c>
      <c r="G149" s="2" t="s">
        <v>599</v>
      </c>
      <c r="H149" s="2" t="s">
        <v>35</v>
      </c>
      <c r="I149" s="3" t="s">
        <v>36</v>
      </c>
      <c r="J149" s="3" t="s">
        <v>279</v>
      </c>
      <c r="K149" s="2" t="s">
        <v>38</v>
      </c>
      <c r="L149" s="2"/>
      <c r="M149" s="2" t="s">
        <v>39</v>
      </c>
      <c r="N149" s="3" t="s">
        <v>669</v>
      </c>
      <c r="O149" s="2" t="s">
        <v>173</v>
      </c>
      <c r="P149" s="2">
        <v>2026</v>
      </c>
      <c r="Q149" s="2">
        <v>4</v>
      </c>
      <c r="R149" s="2" t="s">
        <v>293</v>
      </c>
      <c r="S149" s="2" t="s">
        <v>668</v>
      </c>
      <c r="T149" s="4" t="s">
        <v>87</v>
      </c>
      <c r="U149" s="4" t="s">
        <v>109</v>
      </c>
      <c r="V149" s="4" t="s">
        <v>47</v>
      </c>
      <c r="W149" s="4" t="s">
        <v>47</v>
      </c>
      <c r="X149" s="4" t="s">
        <v>49</v>
      </c>
      <c r="Y149" s="4" t="s">
        <v>49</v>
      </c>
      <c r="Z149" s="4" t="s">
        <v>50</v>
      </c>
      <c r="AA149" s="4" t="s">
        <v>46</v>
      </c>
      <c r="AB149" s="5">
        <v>105</v>
      </c>
    </row>
    <row r="150" spans="1:28" ht="28.35" customHeight="1">
      <c r="A150" s="2" t="s">
        <v>28</v>
      </c>
      <c r="B150" s="2" t="s">
        <v>29</v>
      </c>
      <c r="C150" s="3" t="s">
        <v>190</v>
      </c>
      <c r="D150" s="3" t="s">
        <v>662</v>
      </c>
      <c r="E150" s="2" t="s">
        <v>663</v>
      </c>
      <c r="F150" s="2" t="s">
        <v>664</v>
      </c>
      <c r="G150" s="2" t="s">
        <v>599</v>
      </c>
      <c r="H150" s="2" t="s">
        <v>35</v>
      </c>
      <c r="I150" s="3" t="s">
        <v>36</v>
      </c>
      <c r="J150" s="3" t="s">
        <v>37</v>
      </c>
      <c r="K150" s="2" t="s">
        <v>38</v>
      </c>
      <c r="L150" s="2"/>
      <c r="M150" s="2" t="s">
        <v>39</v>
      </c>
      <c r="N150" s="3" t="s">
        <v>670</v>
      </c>
      <c r="O150" s="2" t="s">
        <v>671</v>
      </c>
      <c r="P150" s="2">
        <v>2026</v>
      </c>
      <c r="Q150" s="2">
        <v>8</v>
      </c>
      <c r="R150" s="2" t="s">
        <v>100</v>
      </c>
      <c r="S150" s="2" t="s">
        <v>668</v>
      </c>
      <c r="T150" s="4" t="s">
        <v>44</v>
      </c>
      <c r="U150" s="4" t="s">
        <v>109</v>
      </c>
      <c r="V150" s="4" t="s">
        <v>47</v>
      </c>
      <c r="W150" s="4" t="s">
        <v>47</v>
      </c>
      <c r="X150" s="4" t="s">
        <v>49</v>
      </c>
      <c r="Y150" s="4" t="s">
        <v>49</v>
      </c>
      <c r="Z150" s="4" t="s">
        <v>50</v>
      </c>
      <c r="AA150" s="4" t="s">
        <v>46</v>
      </c>
      <c r="AB150" s="5">
        <v>210</v>
      </c>
    </row>
    <row r="151" spans="1:28" ht="28.35" customHeight="1">
      <c r="A151" s="2" t="s">
        <v>28</v>
      </c>
      <c r="B151" s="2" t="s">
        <v>29</v>
      </c>
      <c r="C151" s="3" t="s">
        <v>51</v>
      </c>
      <c r="D151" s="3" t="s">
        <v>576</v>
      </c>
      <c r="E151" s="2" t="s">
        <v>672</v>
      </c>
      <c r="F151" s="2" t="s">
        <v>673</v>
      </c>
      <c r="G151" s="2" t="s">
        <v>94</v>
      </c>
      <c r="H151" s="2" t="s">
        <v>35</v>
      </c>
      <c r="I151" s="3" t="s">
        <v>36</v>
      </c>
      <c r="J151" s="3" t="s">
        <v>82</v>
      </c>
      <c r="K151" s="2" t="s">
        <v>38</v>
      </c>
      <c r="L151" s="2"/>
      <c r="M151" s="2" t="s">
        <v>39</v>
      </c>
      <c r="N151" s="3" t="s">
        <v>674</v>
      </c>
      <c r="O151" s="2" t="s">
        <v>488</v>
      </c>
      <c r="P151" s="2">
        <v>2026</v>
      </c>
      <c r="Q151" s="2">
        <v>5</v>
      </c>
      <c r="R151" s="2" t="s">
        <v>119</v>
      </c>
      <c r="S151" s="2" t="s">
        <v>675</v>
      </c>
      <c r="T151" s="4" t="s">
        <v>87</v>
      </c>
      <c r="U151" s="4" t="s">
        <v>46</v>
      </c>
      <c r="V151" s="4" t="s">
        <v>46</v>
      </c>
      <c r="W151" s="4" t="s">
        <v>49</v>
      </c>
      <c r="X151" s="4" t="s">
        <v>49</v>
      </c>
      <c r="Y151" s="4" t="s">
        <v>49</v>
      </c>
      <c r="Z151" s="4" t="s">
        <v>98</v>
      </c>
      <c r="AA151" s="4" t="s">
        <v>46</v>
      </c>
      <c r="AB151" s="5">
        <v>150</v>
      </c>
    </row>
    <row r="152" spans="1:28" ht="28.35" customHeight="1">
      <c r="A152" s="2" t="s">
        <v>28</v>
      </c>
      <c r="B152" s="2" t="s">
        <v>29</v>
      </c>
      <c r="C152" s="3" t="s">
        <v>138</v>
      </c>
      <c r="D152" s="3" t="s">
        <v>139</v>
      </c>
      <c r="E152" s="2" t="s">
        <v>676</v>
      </c>
      <c r="F152" s="2" t="s">
        <v>677</v>
      </c>
      <c r="G152" s="2" t="s">
        <v>599</v>
      </c>
      <c r="H152" s="2" t="s">
        <v>35</v>
      </c>
      <c r="I152" s="3" t="s">
        <v>36</v>
      </c>
      <c r="J152" s="3" t="s">
        <v>82</v>
      </c>
      <c r="K152" s="2" t="s">
        <v>38</v>
      </c>
      <c r="L152" s="2"/>
      <c r="M152" s="2" t="s">
        <v>39</v>
      </c>
      <c r="N152" s="3" t="s">
        <v>678</v>
      </c>
      <c r="O152" s="2" t="s">
        <v>234</v>
      </c>
      <c r="P152" s="2">
        <v>2026</v>
      </c>
      <c r="Q152" s="2">
        <v>7</v>
      </c>
      <c r="R152" s="2" t="s">
        <v>75</v>
      </c>
      <c r="S152" s="2" t="s">
        <v>679</v>
      </c>
      <c r="T152" s="4" t="s">
        <v>87</v>
      </c>
      <c r="U152" s="4" t="s">
        <v>46</v>
      </c>
      <c r="V152" s="4" t="s">
        <v>46</v>
      </c>
      <c r="W152" s="4" t="s">
        <v>49</v>
      </c>
      <c r="X152" s="4" t="s">
        <v>49</v>
      </c>
      <c r="Y152" s="4" t="s">
        <v>49</v>
      </c>
      <c r="Z152" s="4" t="s">
        <v>98</v>
      </c>
      <c r="AA152" s="4" t="s">
        <v>46</v>
      </c>
      <c r="AB152" s="5">
        <v>150</v>
      </c>
    </row>
    <row r="153" spans="1:28" ht="28.35" customHeight="1">
      <c r="A153" s="2" t="s">
        <v>28</v>
      </c>
      <c r="B153" s="2" t="s">
        <v>29</v>
      </c>
      <c r="C153" s="3" t="s">
        <v>138</v>
      </c>
      <c r="D153" s="3" t="s">
        <v>139</v>
      </c>
      <c r="E153" s="2" t="s">
        <v>676</v>
      </c>
      <c r="F153" s="2" t="s">
        <v>677</v>
      </c>
      <c r="G153" s="2" t="s">
        <v>599</v>
      </c>
      <c r="H153" s="2" t="s">
        <v>35</v>
      </c>
      <c r="I153" s="3" t="s">
        <v>36</v>
      </c>
      <c r="J153" s="3" t="s">
        <v>82</v>
      </c>
      <c r="K153" s="2" t="s">
        <v>38</v>
      </c>
      <c r="L153" s="2"/>
      <c r="M153" s="2" t="s">
        <v>39</v>
      </c>
      <c r="N153" s="3" t="s">
        <v>680</v>
      </c>
      <c r="O153" s="2" t="s">
        <v>219</v>
      </c>
      <c r="P153" s="2">
        <v>2026</v>
      </c>
      <c r="Q153" s="2">
        <v>3</v>
      </c>
      <c r="R153" s="2" t="s">
        <v>327</v>
      </c>
      <c r="S153" s="2" t="s">
        <v>681</v>
      </c>
      <c r="T153" s="4" t="s">
        <v>87</v>
      </c>
      <c r="U153" s="4" t="s">
        <v>46</v>
      </c>
      <c r="V153" s="4" t="s">
        <v>46</v>
      </c>
      <c r="W153" s="4" t="s">
        <v>49</v>
      </c>
      <c r="X153" s="4" t="s">
        <v>49</v>
      </c>
      <c r="Y153" s="4" t="s">
        <v>49</v>
      </c>
      <c r="Z153" s="4" t="s">
        <v>98</v>
      </c>
      <c r="AA153" s="4" t="s">
        <v>46</v>
      </c>
      <c r="AB153" s="5">
        <v>150</v>
      </c>
    </row>
    <row r="154" spans="1:28" ht="28.35" customHeight="1">
      <c r="A154" s="2" t="s">
        <v>28</v>
      </c>
      <c r="B154" s="2" t="s">
        <v>29</v>
      </c>
      <c r="C154" s="3" t="s">
        <v>190</v>
      </c>
      <c r="D154" s="3" t="s">
        <v>358</v>
      </c>
      <c r="E154" s="2" t="s">
        <v>682</v>
      </c>
      <c r="F154" s="2" t="s">
        <v>683</v>
      </c>
      <c r="G154" s="2" t="s">
        <v>599</v>
      </c>
      <c r="H154" s="2" t="s">
        <v>35</v>
      </c>
      <c r="I154" s="3" t="s">
        <v>36</v>
      </c>
      <c r="J154" s="3" t="s">
        <v>37</v>
      </c>
      <c r="K154" s="2" t="s">
        <v>38</v>
      </c>
      <c r="L154" s="2"/>
      <c r="M154" s="2" t="s">
        <v>39</v>
      </c>
      <c r="N154" s="3" t="s">
        <v>73</v>
      </c>
      <c r="O154" s="2" t="s">
        <v>684</v>
      </c>
      <c r="P154" s="2">
        <v>2026</v>
      </c>
      <c r="Q154" s="2">
        <v>6</v>
      </c>
      <c r="R154" s="2" t="s">
        <v>229</v>
      </c>
      <c r="S154" s="2" t="s">
        <v>76</v>
      </c>
      <c r="T154" s="4" t="s">
        <v>44</v>
      </c>
      <c r="U154" s="4" t="s">
        <v>77</v>
      </c>
      <c r="V154" s="4" t="s">
        <v>46</v>
      </c>
      <c r="W154" s="4" t="s">
        <v>109</v>
      </c>
      <c r="X154" s="4" t="s">
        <v>49</v>
      </c>
      <c r="Y154" s="4" t="s">
        <v>49</v>
      </c>
      <c r="Z154" s="4" t="s">
        <v>50</v>
      </c>
      <c r="AA154" s="4" t="s">
        <v>46</v>
      </c>
      <c r="AB154" s="5">
        <v>210</v>
      </c>
    </row>
    <row r="155" spans="1:28" ht="28.35" customHeight="1">
      <c r="A155" s="2" t="s">
        <v>28</v>
      </c>
      <c r="B155" s="2" t="s">
        <v>29</v>
      </c>
      <c r="C155" s="3" t="s">
        <v>138</v>
      </c>
      <c r="D155" s="3" t="s">
        <v>139</v>
      </c>
      <c r="E155" s="2" t="s">
        <v>685</v>
      </c>
      <c r="F155" s="2" t="s">
        <v>686</v>
      </c>
      <c r="G155" s="2" t="s">
        <v>599</v>
      </c>
      <c r="H155" s="2" t="s">
        <v>35</v>
      </c>
      <c r="I155" s="3" t="s">
        <v>36</v>
      </c>
      <c r="J155" s="3" t="s">
        <v>82</v>
      </c>
      <c r="K155" s="2" t="s">
        <v>38</v>
      </c>
      <c r="L155" s="2"/>
      <c r="M155" s="2" t="s">
        <v>39</v>
      </c>
      <c r="N155" s="3" t="s">
        <v>687</v>
      </c>
      <c r="O155" s="2" t="s">
        <v>96</v>
      </c>
      <c r="P155" s="2">
        <v>2026</v>
      </c>
      <c r="Q155" s="2">
        <v>4</v>
      </c>
      <c r="R155" s="2" t="s">
        <v>129</v>
      </c>
      <c r="S155" s="2" t="s">
        <v>328</v>
      </c>
      <c r="T155" s="4" t="s">
        <v>87</v>
      </c>
      <c r="U155" s="4" t="s">
        <v>46</v>
      </c>
      <c r="V155" s="4" t="s">
        <v>46</v>
      </c>
      <c r="W155" s="4" t="s">
        <v>49</v>
      </c>
      <c r="X155" s="4" t="s">
        <v>49</v>
      </c>
      <c r="Y155" s="4" t="s">
        <v>49</v>
      </c>
      <c r="Z155" s="4" t="s">
        <v>98</v>
      </c>
      <c r="AA155" s="4" t="s">
        <v>46</v>
      </c>
      <c r="AB155" s="5">
        <v>150</v>
      </c>
    </row>
    <row r="156" spans="1:28" ht="28.35" customHeight="1">
      <c r="A156" s="2" t="s">
        <v>28</v>
      </c>
      <c r="B156" s="2" t="s">
        <v>29</v>
      </c>
      <c r="C156" s="3" t="s">
        <v>352</v>
      </c>
      <c r="D156" s="3" t="s">
        <v>386</v>
      </c>
      <c r="E156" s="2" t="s">
        <v>688</v>
      </c>
      <c r="F156" s="2" t="s">
        <v>689</v>
      </c>
      <c r="G156" s="2" t="s">
        <v>599</v>
      </c>
      <c r="H156" s="2" t="s">
        <v>35</v>
      </c>
      <c r="I156" s="3" t="s">
        <v>36</v>
      </c>
      <c r="J156" s="3" t="s">
        <v>82</v>
      </c>
      <c r="K156" s="2" t="s">
        <v>38</v>
      </c>
      <c r="L156" s="2"/>
      <c r="M156" s="2" t="s">
        <v>39</v>
      </c>
      <c r="N156" s="3" t="s">
        <v>690</v>
      </c>
      <c r="O156" s="2" t="s">
        <v>128</v>
      </c>
      <c r="P156" s="2">
        <v>2026</v>
      </c>
      <c r="Q156" s="2">
        <v>5</v>
      </c>
      <c r="R156" s="2" t="s">
        <v>281</v>
      </c>
      <c r="S156" s="2" t="s">
        <v>691</v>
      </c>
      <c r="T156" s="4" t="s">
        <v>87</v>
      </c>
      <c r="U156" s="4" t="s">
        <v>47</v>
      </c>
      <c r="V156" s="4" t="s">
        <v>47</v>
      </c>
      <c r="W156" s="4" t="s">
        <v>49</v>
      </c>
      <c r="X156" s="4" t="s">
        <v>49</v>
      </c>
      <c r="Y156" s="4" t="s">
        <v>49</v>
      </c>
      <c r="Z156" s="4" t="s">
        <v>50</v>
      </c>
      <c r="AA156" s="4" t="s">
        <v>46</v>
      </c>
      <c r="AB156" s="5">
        <v>105</v>
      </c>
    </row>
    <row r="157" spans="1:28" ht="28.35" customHeight="1">
      <c r="A157" s="2" t="s">
        <v>28</v>
      </c>
      <c r="B157" s="2" t="s">
        <v>29</v>
      </c>
      <c r="C157" s="3" t="s">
        <v>352</v>
      </c>
      <c r="D157" s="3" t="s">
        <v>386</v>
      </c>
      <c r="E157" s="2" t="s">
        <v>688</v>
      </c>
      <c r="F157" s="2" t="s">
        <v>689</v>
      </c>
      <c r="G157" s="2" t="s">
        <v>599</v>
      </c>
      <c r="H157" s="2" t="s">
        <v>35</v>
      </c>
      <c r="I157" s="3" t="s">
        <v>36</v>
      </c>
      <c r="J157" s="3" t="s">
        <v>82</v>
      </c>
      <c r="K157" s="2" t="s">
        <v>38</v>
      </c>
      <c r="L157" s="2"/>
      <c r="M157" s="2" t="s">
        <v>39</v>
      </c>
      <c r="N157" s="3" t="s">
        <v>692</v>
      </c>
      <c r="O157" s="2" t="s">
        <v>100</v>
      </c>
      <c r="P157" s="2">
        <v>2026</v>
      </c>
      <c r="Q157" s="2">
        <v>8</v>
      </c>
      <c r="R157" s="2" t="s">
        <v>58</v>
      </c>
      <c r="S157" s="2" t="s">
        <v>693</v>
      </c>
      <c r="T157" s="4" t="s">
        <v>87</v>
      </c>
      <c r="U157" s="4" t="s">
        <v>109</v>
      </c>
      <c r="V157" s="4" t="s">
        <v>46</v>
      </c>
      <c r="W157" s="4" t="s">
        <v>49</v>
      </c>
      <c r="X157" s="4" t="s">
        <v>60</v>
      </c>
      <c r="Y157" s="4" t="s">
        <v>49</v>
      </c>
      <c r="Z157" s="4" t="s">
        <v>50</v>
      </c>
      <c r="AA157" s="4" t="s">
        <v>46</v>
      </c>
      <c r="AB157" s="5">
        <v>105</v>
      </c>
    </row>
    <row r="158" spans="1:28" ht="28.35" customHeight="1">
      <c r="A158" s="2" t="s">
        <v>28</v>
      </c>
      <c r="B158" s="2" t="s">
        <v>29</v>
      </c>
      <c r="C158" s="3" t="s">
        <v>352</v>
      </c>
      <c r="D158" s="3" t="s">
        <v>386</v>
      </c>
      <c r="E158" s="2" t="s">
        <v>688</v>
      </c>
      <c r="F158" s="2" t="s">
        <v>689</v>
      </c>
      <c r="G158" s="2" t="s">
        <v>599</v>
      </c>
      <c r="H158" s="2" t="s">
        <v>35</v>
      </c>
      <c r="I158" s="3" t="s">
        <v>36</v>
      </c>
      <c r="J158" s="3" t="s">
        <v>82</v>
      </c>
      <c r="K158" s="2" t="s">
        <v>38</v>
      </c>
      <c r="L158" s="2"/>
      <c r="M158" s="2" t="s">
        <v>39</v>
      </c>
      <c r="N158" s="3" t="s">
        <v>694</v>
      </c>
      <c r="O158" s="2" t="s">
        <v>455</v>
      </c>
      <c r="P158" s="2">
        <v>2026</v>
      </c>
      <c r="Q158" s="2">
        <v>5</v>
      </c>
      <c r="R158" s="2" t="s">
        <v>281</v>
      </c>
      <c r="S158" s="2" t="s">
        <v>695</v>
      </c>
      <c r="T158" s="4" t="s">
        <v>87</v>
      </c>
      <c r="U158" s="4" t="s">
        <v>109</v>
      </c>
      <c r="V158" s="4" t="s">
        <v>47</v>
      </c>
      <c r="W158" s="4" t="s">
        <v>47</v>
      </c>
      <c r="X158" s="4" t="s">
        <v>49</v>
      </c>
      <c r="Y158" s="4" t="s">
        <v>49</v>
      </c>
      <c r="Z158" s="4" t="s">
        <v>50</v>
      </c>
      <c r="AA158" s="4" t="s">
        <v>46</v>
      </c>
      <c r="AB158" s="5">
        <v>105</v>
      </c>
    </row>
    <row r="159" spans="1:28" ht="28.35" customHeight="1">
      <c r="A159" s="2" t="s">
        <v>28</v>
      </c>
      <c r="B159" s="2" t="s">
        <v>29</v>
      </c>
      <c r="C159" s="3" t="s">
        <v>352</v>
      </c>
      <c r="D159" s="3" t="s">
        <v>386</v>
      </c>
      <c r="E159" s="2" t="s">
        <v>688</v>
      </c>
      <c r="F159" s="2" t="s">
        <v>689</v>
      </c>
      <c r="G159" s="2" t="s">
        <v>599</v>
      </c>
      <c r="H159" s="2" t="s">
        <v>35</v>
      </c>
      <c r="I159" s="3" t="s">
        <v>36</v>
      </c>
      <c r="J159" s="3" t="s">
        <v>82</v>
      </c>
      <c r="K159" s="2" t="s">
        <v>38</v>
      </c>
      <c r="L159" s="2"/>
      <c r="M159" s="2" t="s">
        <v>39</v>
      </c>
      <c r="N159" s="3" t="s">
        <v>696</v>
      </c>
      <c r="O159" s="2" t="s">
        <v>128</v>
      </c>
      <c r="P159" s="2">
        <v>2026</v>
      </c>
      <c r="Q159" s="2">
        <v>5</v>
      </c>
      <c r="R159" s="2" t="s">
        <v>281</v>
      </c>
      <c r="S159" s="2" t="s">
        <v>695</v>
      </c>
      <c r="T159" s="4" t="s">
        <v>87</v>
      </c>
      <c r="U159" s="4" t="s">
        <v>109</v>
      </c>
      <c r="V159" s="4" t="s">
        <v>47</v>
      </c>
      <c r="W159" s="4" t="s">
        <v>47</v>
      </c>
      <c r="X159" s="4" t="s">
        <v>49</v>
      </c>
      <c r="Y159" s="4" t="s">
        <v>49</v>
      </c>
      <c r="Z159" s="4" t="s">
        <v>50</v>
      </c>
      <c r="AA159" s="4" t="s">
        <v>46</v>
      </c>
      <c r="AB159" s="5">
        <v>105</v>
      </c>
    </row>
    <row r="160" spans="1:28" ht="28.35" customHeight="1">
      <c r="A160" s="2" t="s">
        <v>28</v>
      </c>
      <c r="B160" s="2" t="s">
        <v>29</v>
      </c>
      <c r="C160" s="3" t="s">
        <v>352</v>
      </c>
      <c r="D160" s="3" t="s">
        <v>386</v>
      </c>
      <c r="E160" s="2" t="s">
        <v>688</v>
      </c>
      <c r="F160" s="2" t="s">
        <v>689</v>
      </c>
      <c r="G160" s="2" t="s">
        <v>599</v>
      </c>
      <c r="H160" s="2" t="s">
        <v>35</v>
      </c>
      <c r="I160" s="3" t="s">
        <v>36</v>
      </c>
      <c r="J160" s="3" t="s">
        <v>82</v>
      </c>
      <c r="K160" s="2" t="s">
        <v>38</v>
      </c>
      <c r="L160" s="2"/>
      <c r="M160" s="2" t="s">
        <v>39</v>
      </c>
      <c r="N160" s="3" t="s">
        <v>697</v>
      </c>
      <c r="O160" s="2" t="s">
        <v>96</v>
      </c>
      <c r="P160" s="2">
        <v>2026</v>
      </c>
      <c r="Q160" s="2">
        <v>4</v>
      </c>
      <c r="R160" s="2" t="s">
        <v>569</v>
      </c>
      <c r="S160" s="2" t="s">
        <v>698</v>
      </c>
      <c r="T160" s="4" t="s">
        <v>87</v>
      </c>
      <c r="U160" s="4" t="s">
        <v>47</v>
      </c>
      <c r="V160" s="4" t="s">
        <v>47</v>
      </c>
      <c r="W160" s="4" t="s">
        <v>49</v>
      </c>
      <c r="X160" s="4" t="s">
        <v>49</v>
      </c>
      <c r="Y160" s="4" t="s">
        <v>49</v>
      </c>
      <c r="Z160" s="4" t="s">
        <v>50</v>
      </c>
      <c r="AA160" s="4" t="s">
        <v>46</v>
      </c>
      <c r="AB160" s="5">
        <v>105</v>
      </c>
    </row>
    <row r="161" spans="1:28" ht="28.35" customHeight="1">
      <c r="A161" s="2" t="s">
        <v>28</v>
      </c>
      <c r="B161" s="2" t="s">
        <v>29</v>
      </c>
      <c r="C161" s="3" t="s">
        <v>352</v>
      </c>
      <c r="D161" s="3" t="s">
        <v>386</v>
      </c>
      <c r="E161" s="2" t="s">
        <v>688</v>
      </c>
      <c r="F161" s="2" t="s">
        <v>689</v>
      </c>
      <c r="G161" s="2" t="s">
        <v>599</v>
      </c>
      <c r="H161" s="2" t="s">
        <v>35</v>
      </c>
      <c r="I161" s="3" t="s">
        <v>36</v>
      </c>
      <c r="J161" s="3" t="s">
        <v>82</v>
      </c>
      <c r="K161" s="2" t="s">
        <v>38</v>
      </c>
      <c r="L161" s="2"/>
      <c r="M161" s="2" t="s">
        <v>39</v>
      </c>
      <c r="N161" s="3" t="s">
        <v>699</v>
      </c>
      <c r="O161" s="2" t="s">
        <v>234</v>
      </c>
      <c r="P161" s="2">
        <v>2026</v>
      </c>
      <c r="Q161" s="2">
        <v>7</v>
      </c>
      <c r="R161" s="2" t="s">
        <v>75</v>
      </c>
      <c r="S161" s="2" t="s">
        <v>700</v>
      </c>
      <c r="T161" s="4" t="s">
        <v>87</v>
      </c>
      <c r="U161" s="4" t="s">
        <v>109</v>
      </c>
      <c r="V161" s="4" t="s">
        <v>47</v>
      </c>
      <c r="W161" s="4" t="s">
        <v>47</v>
      </c>
      <c r="X161" s="4" t="s">
        <v>49</v>
      </c>
      <c r="Y161" s="4" t="s">
        <v>49</v>
      </c>
      <c r="Z161" s="4" t="s">
        <v>50</v>
      </c>
      <c r="AA161" s="4" t="s">
        <v>46</v>
      </c>
      <c r="AB161" s="5">
        <v>105</v>
      </c>
    </row>
    <row r="162" spans="1:28" ht="28.35" customHeight="1">
      <c r="A162" s="2" t="s">
        <v>28</v>
      </c>
      <c r="B162" s="2" t="s">
        <v>29</v>
      </c>
      <c r="C162" s="3" t="s">
        <v>322</v>
      </c>
      <c r="D162" s="3" t="s">
        <v>434</v>
      </c>
      <c r="E162" s="2" t="s">
        <v>701</v>
      </c>
      <c r="F162" s="2" t="s">
        <v>702</v>
      </c>
      <c r="G162" s="2" t="s">
        <v>94</v>
      </c>
      <c r="H162" s="2" t="s">
        <v>35</v>
      </c>
      <c r="I162" s="3" t="s">
        <v>36</v>
      </c>
      <c r="J162" s="3" t="s">
        <v>82</v>
      </c>
      <c r="K162" s="2" t="s">
        <v>38</v>
      </c>
      <c r="L162" s="2"/>
      <c r="M162" s="2" t="s">
        <v>39</v>
      </c>
      <c r="N162" s="3" t="s">
        <v>703</v>
      </c>
      <c r="O162" s="2" t="s">
        <v>74</v>
      </c>
      <c r="P162" s="2">
        <v>2026</v>
      </c>
      <c r="Q162" s="2">
        <v>6</v>
      </c>
      <c r="R162" s="2" t="s">
        <v>75</v>
      </c>
      <c r="S162" s="2" t="s">
        <v>416</v>
      </c>
      <c r="T162" s="4" t="s">
        <v>87</v>
      </c>
      <c r="U162" s="4" t="s">
        <v>60</v>
      </c>
      <c r="V162" s="4" t="s">
        <v>47</v>
      </c>
      <c r="W162" s="4" t="s">
        <v>46</v>
      </c>
      <c r="X162" s="4" t="s">
        <v>49</v>
      </c>
      <c r="Y162" s="4" t="s">
        <v>49</v>
      </c>
      <c r="Z162" s="4" t="s">
        <v>50</v>
      </c>
      <c r="AA162" s="4" t="s">
        <v>46</v>
      </c>
      <c r="AB162" s="5">
        <v>105</v>
      </c>
    </row>
    <row r="163" spans="1:28" ht="28.35" customHeight="1">
      <c r="A163" s="2" t="s">
        <v>28</v>
      </c>
      <c r="B163" s="2" t="s">
        <v>29</v>
      </c>
      <c r="C163" s="3" t="s">
        <v>110</v>
      </c>
      <c r="D163" s="3" t="s">
        <v>704</v>
      </c>
      <c r="E163" s="2" t="s">
        <v>705</v>
      </c>
      <c r="F163" s="2" t="s">
        <v>706</v>
      </c>
      <c r="G163" s="2" t="s">
        <v>707</v>
      </c>
      <c r="H163" s="2" t="s">
        <v>35</v>
      </c>
      <c r="I163" s="3" t="s">
        <v>36</v>
      </c>
      <c r="J163" s="3" t="s">
        <v>279</v>
      </c>
      <c r="K163" s="2" t="s">
        <v>38</v>
      </c>
      <c r="L163" s="2"/>
      <c r="M163" s="2" t="s">
        <v>39</v>
      </c>
      <c r="N163" s="3" t="s">
        <v>708</v>
      </c>
      <c r="O163" s="2" t="s">
        <v>84</v>
      </c>
      <c r="P163" s="2">
        <v>2026</v>
      </c>
      <c r="Q163" s="2">
        <v>3</v>
      </c>
      <c r="R163" s="2" t="s">
        <v>709</v>
      </c>
      <c r="S163" s="2" t="s">
        <v>710</v>
      </c>
      <c r="T163" s="4" t="s">
        <v>87</v>
      </c>
      <c r="U163" s="4" t="s">
        <v>47</v>
      </c>
      <c r="V163" s="4" t="s">
        <v>46</v>
      </c>
      <c r="W163" s="4" t="s">
        <v>46</v>
      </c>
      <c r="X163" s="4" t="s">
        <v>49</v>
      </c>
      <c r="Y163" s="4" t="s">
        <v>49</v>
      </c>
      <c r="Z163" s="4" t="s">
        <v>50</v>
      </c>
      <c r="AA163" s="4" t="s">
        <v>46</v>
      </c>
      <c r="AB163" s="5">
        <v>105</v>
      </c>
    </row>
    <row r="164" spans="1:28" ht="28.35" customHeight="1">
      <c r="A164" s="2" t="s">
        <v>28</v>
      </c>
      <c r="B164" s="2" t="s">
        <v>29</v>
      </c>
      <c r="C164" s="3" t="s">
        <v>322</v>
      </c>
      <c r="D164" s="3" t="s">
        <v>711</v>
      </c>
      <c r="E164" s="2" t="s">
        <v>712</v>
      </c>
      <c r="F164" s="2" t="s">
        <v>713</v>
      </c>
      <c r="G164" s="2" t="s">
        <v>599</v>
      </c>
      <c r="H164" s="2" t="s">
        <v>35</v>
      </c>
      <c r="I164" s="3" t="s">
        <v>36</v>
      </c>
      <c r="J164" s="3" t="s">
        <v>82</v>
      </c>
      <c r="K164" s="2" t="s">
        <v>38</v>
      </c>
      <c r="L164" s="2"/>
      <c r="M164" s="2" t="s">
        <v>39</v>
      </c>
      <c r="N164" s="3" t="s">
        <v>714</v>
      </c>
      <c r="O164" s="2" t="s">
        <v>219</v>
      </c>
      <c r="P164" s="2">
        <v>2026</v>
      </c>
      <c r="Q164" s="2">
        <v>3</v>
      </c>
      <c r="R164" s="2" t="s">
        <v>327</v>
      </c>
      <c r="S164" s="2" t="s">
        <v>715</v>
      </c>
      <c r="T164" s="4" t="s">
        <v>87</v>
      </c>
      <c r="U164" s="4" t="s">
        <v>47</v>
      </c>
      <c r="V164" s="4" t="s">
        <v>47</v>
      </c>
      <c r="W164" s="4" t="s">
        <v>49</v>
      </c>
      <c r="X164" s="4" t="s">
        <v>49</v>
      </c>
      <c r="Y164" s="4" t="s">
        <v>49</v>
      </c>
      <c r="Z164" s="4" t="s">
        <v>50</v>
      </c>
      <c r="AA164" s="4" t="s">
        <v>46</v>
      </c>
      <c r="AB164" s="5">
        <v>105</v>
      </c>
    </row>
    <row r="165" spans="1:28" ht="28.35" customHeight="1">
      <c r="A165" s="2" t="s">
        <v>28</v>
      </c>
      <c r="B165" s="2" t="s">
        <v>29</v>
      </c>
      <c r="C165" s="3" t="s">
        <v>322</v>
      </c>
      <c r="D165" s="3" t="s">
        <v>711</v>
      </c>
      <c r="E165" s="2" t="s">
        <v>712</v>
      </c>
      <c r="F165" s="2" t="s">
        <v>713</v>
      </c>
      <c r="G165" s="2" t="s">
        <v>599</v>
      </c>
      <c r="H165" s="2" t="s">
        <v>35</v>
      </c>
      <c r="I165" s="3" t="s">
        <v>36</v>
      </c>
      <c r="J165" s="3" t="s">
        <v>82</v>
      </c>
      <c r="K165" s="2" t="s">
        <v>38</v>
      </c>
      <c r="L165" s="2"/>
      <c r="M165" s="2" t="s">
        <v>39</v>
      </c>
      <c r="N165" s="3" t="s">
        <v>716</v>
      </c>
      <c r="O165" s="2" t="s">
        <v>74</v>
      </c>
      <c r="P165" s="2">
        <v>2026</v>
      </c>
      <c r="Q165" s="2">
        <v>6</v>
      </c>
      <c r="R165" s="2" t="s">
        <v>75</v>
      </c>
      <c r="S165" s="2" t="s">
        <v>717</v>
      </c>
      <c r="T165" s="4" t="s">
        <v>87</v>
      </c>
      <c r="U165" s="4" t="s">
        <v>77</v>
      </c>
      <c r="V165" s="4" t="s">
        <v>47</v>
      </c>
      <c r="W165" s="4" t="s">
        <v>60</v>
      </c>
      <c r="X165" s="4" t="s">
        <v>49</v>
      </c>
      <c r="Y165" s="4" t="s">
        <v>49</v>
      </c>
      <c r="Z165" s="4" t="s">
        <v>50</v>
      </c>
      <c r="AA165" s="4" t="s">
        <v>46</v>
      </c>
      <c r="AB165" s="5">
        <v>105</v>
      </c>
    </row>
    <row r="166" spans="1:28" ht="28.35" customHeight="1">
      <c r="A166" s="2" t="s">
        <v>28</v>
      </c>
      <c r="B166" s="2" t="s">
        <v>29</v>
      </c>
      <c r="C166" s="3" t="s">
        <v>322</v>
      </c>
      <c r="D166" s="3" t="s">
        <v>711</v>
      </c>
      <c r="E166" s="2" t="s">
        <v>712</v>
      </c>
      <c r="F166" s="2" t="s">
        <v>713</v>
      </c>
      <c r="G166" s="2" t="s">
        <v>599</v>
      </c>
      <c r="H166" s="2" t="s">
        <v>35</v>
      </c>
      <c r="I166" s="3" t="s">
        <v>36</v>
      </c>
      <c r="J166" s="3" t="s">
        <v>82</v>
      </c>
      <c r="K166" s="2" t="s">
        <v>38</v>
      </c>
      <c r="L166" s="2"/>
      <c r="M166" s="2" t="s">
        <v>39</v>
      </c>
      <c r="N166" s="3" t="s">
        <v>718</v>
      </c>
      <c r="O166" s="2" t="s">
        <v>74</v>
      </c>
      <c r="P166" s="2">
        <v>2026</v>
      </c>
      <c r="Q166" s="2">
        <v>6</v>
      </c>
      <c r="R166" s="2" t="s">
        <v>75</v>
      </c>
      <c r="S166" s="2" t="s">
        <v>392</v>
      </c>
      <c r="T166" s="4" t="s">
        <v>87</v>
      </c>
      <c r="U166" s="4" t="s">
        <v>47</v>
      </c>
      <c r="V166" s="4" t="s">
        <v>47</v>
      </c>
      <c r="W166" s="4" t="s">
        <v>49</v>
      </c>
      <c r="X166" s="4" t="s">
        <v>49</v>
      </c>
      <c r="Y166" s="4" t="s">
        <v>49</v>
      </c>
      <c r="Z166" s="4" t="s">
        <v>50</v>
      </c>
      <c r="AA166" s="4" t="s">
        <v>46</v>
      </c>
      <c r="AB166" s="5">
        <v>105</v>
      </c>
    </row>
    <row r="167" spans="1:28" ht="28.35" customHeight="1">
      <c r="A167" s="2" t="s">
        <v>28</v>
      </c>
      <c r="B167" s="2" t="s">
        <v>29</v>
      </c>
      <c r="C167" s="3" t="s">
        <v>322</v>
      </c>
      <c r="D167" s="3" t="s">
        <v>711</v>
      </c>
      <c r="E167" s="2" t="s">
        <v>712</v>
      </c>
      <c r="F167" s="2" t="s">
        <v>713</v>
      </c>
      <c r="G167" s="2" t="s">
        <v>599</v>
      </c>
      <c r="H167" s="2" t="s">
        <v>35</v>
      </c>
      <c r="I167" s="3" t="s">
        <v>36</v>
      </c>
      <c r="J167" s="3" t="s">
        <v>82</v>
      </c>
      <c r="K167" s="2" t="s">
        <v>38</v>
      </c>
      <c r="L167" s="2"/>
      <c r="M167" s="2" t="s">
        <v>39</v>
      </c>
      <c r="N167" s="3" t="s">
        <v>719</v>
      </c>
      <c r="O167" s="2" t="s">
        <v>219</v>
      </c>
      <c r="P167" s="2">
        <v>2026</v>
      </c>
      <c r="Q167" s="2">
        <v>3</v>
      </c>
      <c r="R167" s="2" t="s">
        <v>327</v>
      </c>
      <c r="S167" s="2" t="s">
        <v>715</v>
      </c>
      <c r="T167" s="4" t="s">
        <v>87</v>
      </c>
      <c r="U167" s="4" t="s">
        <v>60</v>
      </c>
      <c r="V167" s="4" t="s">
        <v>47</v>
      </c>
      <c r="W167" s="4" t="s">
        <v>46</v>
      </c>
      <c r="X167" s="4" t="s">
        <v>49</v>
      </c>
      <c r="Y167" s="4" t="s">
        <v>49</v>
      </c>
      <c r="Z167" s="4" t="s">
        <v>50</v>
      </c>
      <c r="AA167" s="4" t="s">
        <v>46</v>
      </c>
      <c r="AB167" s="5">
        <v>105</v>
      </c>
    </row>
    <row r="168" spans="1:28" ht="28.35" customHeight="1">
      <c r="A168" s="2" t="s">
        <v>28</v>
      </c>
      <c r="B168" s="2" t="s">
        <v>29</v>
      </c>
      <c r="C168" s="3" t="s">
        <v>190</v>
      </c>
      <c r="D168" s="3" t="s">
        <v>368</v>
      </c>
      <c r="E168" s="2" t="s">
        <v>720</v>
      </c>
      <c r="F168" s="2" t="s">
        <v>721</v>
      </c>
      <c r="G168" s="2" t="s">
        <v>599</v>
      </c>
      <c r="H168" s="2" t="s">
        <v>35</v>
      </c>
      <c r="I168" s="3" t="s">
        <v>36</v>
      </c>
      <c r="J168" s="3" t="s">
        <v>37</v>
      </c>
      <c r="K168" s="2" t="s">
        <v>38</v>
      </c>
      <c r="L168" s="2"/>
      <c r="M168" s="2" t="s">
        <v>39</v>
      </c>
      <c r="N168" s="3" t="s">
        <v>722</v>
      </c>
      <c r="O168" s="2" t="s">
        <v>723</v>
      </c>
      <c r="P168" s="2">
        <v>2026</v>
      </c>
      <c r="Q168" s="2">
        <v>8</v>
      </c>
      <c r="R168" s="2" t="s">
        <v>100</v>
      </c>
      <c r="S168" s="2" t="s">
        <v>609</v>
      </c>
      <c r="T168" s="4" t="s">
        <v>44</v>
      </c>
      <c r="U168" s="4" t="s">
        <v>47</v>
      </c>
      <c r="V168" s="4" t="s">
        <v>47</v>
      </c>
      <c r="W168" s="4" t="s">
        <v>49</v>
      </c>
      <c r="X168" s="4" t="s">
        <v>49</v>
      </c>
      <c r="Y168" s="4" t="s">
        <v>49</v>
      </c>
      <c r="Z168" s="4" t="s">
        <v>50</v>
      </c>
      <c r="AA168" s="4" t="s">
        <v>46</v>
      </c>
      <c r="AB168" s="5">
        <v>210</v>
      </c>
    </row>
    <row r="169" spans="1:28" ht="28.35" customHeight="1">
      <c r="A169" s="2" t="s">
        <v>28</v>
      </c>
      <c r="B169" s="2" t="s">
        <v>29</v>
      </c>
      <c r="C169" s="3" t="s">
        <v>190</v>
      </c>
      <c r="D169" s="3" t="s">
        <v>368</v>
      </c>
      <c r="E169" s="2" t="s">
        <v>720</v>
      </c>
      <c r="F169" s="2" t="s">
        <v>721</v>
      </c>
      <c r="G169" s="2" t="s">
        <v>599</v>
      </c>
      <c r="H169" s="2" t="s">
        <v>35</v>
      </c>
      <c r="I169" s="3" t="s">
        <v>36</v>
      </c>
      <c r="J169" s="3" t="s">
        <v>37</v>
      </c>
      <c r="K169" s="2" t="s">
        <v>38</v>
      </c>
      <c r="L169" s="2"/>
      <c r="M169" s="2" t="s">
        <v>39</v>
      </c>
      <c r="N169" s="3" t="s">
        <v>724</v>
      </c>
      <c r="O169" s="2" t="s">
        <v>538</v>
      </c>
      <c r="P169" s="2">
        <v>2026</v>
      </c>
      <c r="Q169" s="2">
        <v>8</v>
      </c>
      <c r="R169" s="2" t="s">
        <v>100</v>
      </c>
      <c r="S169" s="2" t="s">
        <v>725</v>
      </c>
      <c r="T169" s="4" t="s">
        <v>44</v>
      </c>
      <c r="U169" s="4" t="s">
        <v>47</v>
      </c>
      <c r="V169" s="4" t="s">
        <v>46</v>
      </c>
      <c r="W169" s="4" t="s">
        <v>49</v>
      </c>
      <c r="X169" s="4" t="s">
        <v>46</v>
      </c>
      <c r="Y169" s="4" t="s">
        <v>49</v>
      </c>
      <c r="Z169" s="4" t="s">
        <v>50</v>
      </c>
      <c r="AA169" s="4" t="s">
        <v>46</v>
      </c>
      <c r="AB169" s="5">
        <v>210</v>
      </c>
    </row>
    <row r="170" spans="1:28" ht="28.35" customHeight="1">
      <c r="A170" s="2" t="s">
        <v>28</v>
      </c>
      <c r="B170" s="2" t="s">
        <v>29</v>
      </c>
      <c r="C170" s="3" t="s">
        <v>162</v>
      </c>
      <c r="D170" s="3" t="s">
        <v>726</v>
      </c>
      <c r="E170" s="2" t="s">
        <v>727</v>
      </c>
      <c r="F170" s="2" t="s">
        <v>728</v>
      </c>
      <c r="G170" s="2" t="s">
        <v>94</v>
      </c>
      <c r="H170" s="2"/>
      <c r="I170" s="3" t="s">
        <v>166</v>
      </c>
      <c r="J170" s="3"/>
      <c r="K170" s="2"/>
      <c r="L170" s="2" t="s">
        <v>167</v>
      </c>
      <c r="M170" s="2" t="s">
        <v>39</v>
      </c>
      <c r="N170" s="3" t="s">
        <v>729</v>
      </c>
      <c r="O170" s="2" t="s">
        <v>242</v>
      </c>
      <c r="P170" s="2">
        <v>2026</v>
      </c>
      <c r="Q170" s="2">
        <v>5</v>
      </c>
      <c r="R170" s="2" t="s">
        <v>119</v>
      </c>
      <c r="S170" s="2"/>
      <c r="T170" s="4" t="s">
        <v>87</v>
      </c>
      <c r="U170" s="4" t="s">
        <v>77</v>
      </c>
      <c r="V170" s="4" t="s">
        <v>49</v>
      </c>
      <c r="W170" s="4" t="s">
        <v>47</v>
      </c>
      <c r="X170" s="4" t="s">
        <v>49</v>
      </c>
      <c r="Y170" s="4" t="s">
        <v>60</v>
      </c>
      <c r="Z170" s="4" t="s">
        <v>295</v>
      </c>
      <c r="AA170" s="4" t="s">
        <v>46</v>
      </c>
      <c r="AB170" s="5">
        <v>75</v>
      </c>
    </row>
    <row r="171" spans="1:28" ht="28.35" customHeight="1">
      <c r="A171" s="2" t="s">
        <v>28</v>
      </c>
      <c r="B171" s="2" t="s">
        <v>29</v>
      </c>
      <c r="C171" s="3" t="s">
        <v>162</v>
      </c>
      <c r="D171" s="3" t="s">
        <v>726</v>
      </c>
      <c r="E171" s="2" t="s">
        <v>727</v>
      </c>
      <c r="F171" s="2" t="s">
        <v>728</v>
      </c>
      <c r="G171" s="2" t="s">
        <v>94</v>
      </c>
      <c r="H171" s="2"/>
      <c r="I171" s="3" t="s">
        <v>166</v>
      </c>
      <c r="J171" s="3"/>
      <c r="K171" s="2"/>
      <c r="L171" s="2" t="s">
        <v>167</v>
      </c>
      <c r="M171" s="2" t="s">
        <v>39</v>
      </c>
      <c r="N171" s="3" t="s">
        <v>730</v>
      </c>
      <c r="O171" s="2" t="s">
        <v>731</v>
      </c>
      <c r="P171" s="2">
        <v>2026</v>
      </c>
      <c r="Q171" s="2">
        <v>5</v>
      </c>
      <c r="R171" s="2" t="s">
        <v>119</v>
      </c>
      <c r="S171" s="2"/>
      <c r="T171" s="4" t="s">
        <v>87</v>
      </c>
      <c r="U171" s="4" t="s">
        <v>77</v>
      </c>
      <c r="V171" s="4" t="s">
        <v>49</v>
      </c>
      <c r="W171" s="4" t="s">
        <v>77</v>
      </c>
      <c r="X171" s="4" t="s">
        <v>49</v>
      </c>
      <c r="Y171" s="4" t="s">
        <v>49</v>
      </c>
      <c r="Z171" s="4" t="s">
        <v>379</v>
      </c>
      <c r="AA171" s="4" t="s">
        <v>46</v>
      </c>
      <c r="AB171" s="5">
        <v>30</v>
      </c>
    </row>
    <row r="172" spans="1:28" ht="28.35" customHeight="1">
      <c r="A172" s="2" t="s">
        <v>28</v>
      </c>
      <c r="B172" s="2" t="s">
        <v>29</v>
      </c>
      <c r="C172" s="3" t="s">
        <v>322</v>
      </c>
      <c r="D172" s="3" t="s">
        <v>434</v>
      </c>
      <c r="E172" s="2" t="s">
        <v>732</v>
      </c>
      <c r="F172" s="2" t="s">
        <v>733</v>
      </c>
      <c r="G172" s="2" t="s">
        <v>94</v>
      </c>
      <c r="H172" s="2" t="s">
        <v>35</v>
      </c>
      <c r="I172" s="3" t="s">
        <v>36</v>
      </c>
      <c r="J172" s="3" t="s">
        <v>82</v>
      </c>
      <c r="K172" s="2" t="s">
        <v>38</v>
      </c>
      <c r="L172" s="2"/>
      <c r="M172" s="2" t="s">
        <v>39</v>
      </c>
      <c r="N172" s="3" t="s">
        <v>734</v>
      </c>
      <c r="O172" s="2" t="s">
        <v>128</v>
      </c>
      <c r="P172" s="2">
        <v>2026</v>
      </c>
      <c r="Q172" s="2">
        <v>5</v>
      </c>
      <c r="R172" s="2" t="s">
        <v>124</v>
      </c>
      <c r="S172" s="2" t="s">
        <v>446</v>
      </c>
      <c r="T172" s="4" t="s">
        <v>87</v>
      </c>
      <c r="U172" s="4" t="s">
        <v>47</v>
      </c>
      <c r="V172" s="4" t="s">
        <v>47</v>
      </c>
      <c r="W172" s="4" t="s">
        <v>49</v>
      </c>
      <c r="X172" s="4" t="s">
        <v>49</v>
      </c>
      <c r="Y172" s="4" t="s">
        <v>49</v>
      </c>
      <c r="Z172" s="4" t="s">
        <v>50</v>
      </c>
      <c r="AA172" s="4" t="s">
        <v>46</v>
      </c>
      <c r="AB172" s="5">
        <v>105</v>
      </c>
    </row>
    <row r="173" spans="1:28" ht="28.35" customHeight="1">
      <c r="A173" s="2" t="s">
        <v>28</v>
      </c>
      <c r="B173" s="2" t="s">
        <v>29</v>
      </c>
      <c r="C173" s="3" t="s">
        <v>322</v>
      </c>
      <c r="D173" s="3" t="s">
        <v>735</v>
      </c>
      <c r="E173" s="2" t="s">
        <v>736</v>
      </c>
      <c r="F173" s="2" t="s">
        <v>737</v>
      </c>
      <c r="G173" s="2" t="s">
        <v>590</v>
      </c>
      <c r="H173" s="2" t="s">
        <v>35</v>
      </c>
      <c r="I173" s="3" t="s">
        <v>36</v>
      </c>
      <c r="J173" s="3" t="s">
        <v>558</v>
      </c>
      <c r="K173" s="2" t="s">
        <v>38</v>
      </c>
      <c r="L173" s="2"/>
      <c r="M173" s="2" t="s">
        <v>39</v>
      </c>
      <c r="N173" s="3" t="s">
        <v>738</v>
      </c>
      <c r="O173" s="2" t="s">
        <v>85</v>
      </c>
      <c r="P173" s="2">
        <v>2026</v>
      </c>
      <c r="Q173" s="2">
        <v>6</v>
      </c>
      <c r="R173" s="2" t="s">
        <v>58</v>
      </c>
      <c r="S173" s="2" t="s">
        <v>739</v>
      </c>
      <c r="T173" s="4" t="s">
        <v>562</v>
      </c>
      <c r="U173" s="4" t="s">
        <v>77</v>
      </c>
      <c r="V173" s="4" t="s">
        <v>47</v>
      </c>
      <c r="W173" s="4" t="s">
        <v>60</v>
      </c>
      <c r="X173" s="4" t="s">
        <v>49</v>
      </c>
      <c r="Y173" s="4" t="s">
        <v>49</v>
      </c>
      <c r="Z173" s="4" t="s">
        <v>50</v>
      </c>
      <c r="AA173" s="4" t="s">
        <v>46</v>
      </c>
      <c r="AB173" s="5">
        <v>315</v>
      </c>
    </row>
    <row r="174" spans="1:28" ht="28.35" customHeight="1">
      <c r="A174" s="2" t="s">
        <v>28</v>
      </c>
      <c r="B174" s="2" t="s">
        <v>29</v>
      </c>
      <c r="C174" s="3" t="s">
        <v>30</v>
      </c>
      <c r="D174" s="3" t="s">
        <v>31</v>
      </c>
      <c r="E174" s="2" t="s">
        <v>740</v>
      </c>
      <c r="F174" s="2" t="s">
        <v>741</v>
      </c>
      <c r="G174" s="2" t="s">
        <v>599</v>
      </c>
      <c r="H174" s="2" t="s">
        <v>35</v>
      </c>
      <c r="I174" s="3" t="s">
        <v>36</v>
      </c>
      <c r="J174" s="3" t="s">
        <v>37</v>
      </c>
      <c r="K174" s="2" t="s">
        <v>72</v>
      </c>
      <c r="L174" s="2"/>
      <c r="M174" s="2" t="s">
        <v>39</v>
      </c>
      <c r="N174" s="3" t="s">
        <v>742</v>
      </c>
      <c r="O174" s="2" t="s">
        <v>566</v>
      </c>
      <c r="P174" s="2">
        <v>2026</v>
      </c>
      <c r="Q174" s="2">
        <v>4</v>
      </c>
      <c r="R174" s="2" t="s">
        <v>580</v>
      </c>
      <c r="S174" s="2" t="s">
        <v>743</v>
      </c>
      <c r="T174" s="4" t="s">
        <v>44</v>
      </c>
      <c r="U174" s="4" t="s">
        <v>744</v>
      </c>
      <c r="V174" s="4" t="s">
        <v>109</v>
      </c>
      <c r="W174" s="4" t="s">
        <v>48</v>
      </c>
      <c r="X174" s="4" t="s">
        <v>49</v>
      </c>
      <c r="Y174" s="4" t="s">
        <v>49</v>
      </c>
      <c r="Z174" s="4" t="s">
        <v>122</v>
      </c>
      <c r="AA174" s="4" t="s">
        <v>46</v>
      </c>
      <c r="AB174" s="5">
        <v>30</v>
      </c>
    </row>
    <row r="175" spans="1:28" ht="28.35" customHeight="1">
      <c r="A175" s="2" t="s">
        <v>28</v>
      </c>
      <c r="B175" s="2" t="s">
        <v>29</v>
      </c>
      <c r="C175" s="3" t="s">
        <v>206</v>
      </c>
      <c r="D175" s="3" t="s">
        <v>745</v>
      </c>
      <c r="E175" s="2" t="s">
        <v>746</v>
      </c>
      <c r="F175" s="2" t="s">
        <v>747</v>
      </c>
      <c r="G175" s="2" t="s">
        <v>599</v>
      </c>
      <c r="H175" s="2" t="s">
        <v>35</v>
      </c>
      <c r="I175" s="3" t="s">
        <v>36</v>
      </c>
      <c r="J175" s="3" t="s">
        <v>82</v>
      </c>
      <c r="K175" s="2" t="s">
        <v>38</v>
      </c>
      <c r="L175" s="2"/>
      <c r="M175" s="2" t="s">
        <v>39</v>
      </c>
      <c r="N175" s="3" t="s">
        <v>748</v>
      </c>
      <c r="O175" s="2" t="s">
        <v>219</v>
      </c>
      <c r="P175" s="2">
        <v>2026</v>
      </c>
      <c r="Q175" s="2">
        <v>3</v>
      </c>
      <c r="R175" s="2" t="s">
        <v>247</v>
      </c>
      <c r="S175" s="2" t="s">
        <v>749</v>
      </c>
      <c r="T175" s="4" t="s">
        <v>87</v>
      </c>
      <c r="U175" s="4" t="s">
        <v>46</v>
      </c>
      <c r="V175" s="4" t="s">
        <v>46</v>
      </c>
      <c r="W175" s="4" t="s">
        <v>49</v>
      </c>
      <c r="X175" s="4" t="s">
        <v>49</v>
      </c>
      <c r="Y175" s="4" t="s">
        <v>49</v>
      </c>
      <c r="Z175" s="4" t="s">
        <v>98</v>
      </c>
      <c r="AA175" s="4" t="s">
        <v>46</v>
      </c>
      <c r="AB175" s="5">
        <v>150</v>
      </c>
    </row>
    <row r="176" spans="1:28" ht="28.35" customHeight="1">
      <c r="A176" s="2" t="s">
        <v>28</v>
      </c>
      <c r="B176" s="2" t="s">
        <v>29</v>
      </c>
      <c r="C176" s="3" t="s">
        <v>206</v>
      </c>
      <c r="D176" s="3" t="s">
        <v>745</v>
      </c>
      <c r="E176" s="2" t="s">
        <v>746</v>
      </c>
      <c r="F176" s="2" t="s">
        <v>747</v>
      </c>
      <c r="G176" s="2" t="s">
        <v>599</v>
      </c>
      <c r="H176" s="2" t="s">
        <v>35</v>
      </c>
      <c r="I176" s="3" t="s">
        <v>36</v>
      </c>
      <c r="J176" s="3" t="s">
        <v>82</v>
      </c>
      <c r="K176" s="2" t="s">
        <v>38</v>
      </c>
      <c r="L176" s="2"/>
      <c r="M176" s="2" t="s">
        <v>39</v>
      </c>
      <c r="N176" s="3" t="s">
        <v>750</v>
      </c>
      <c r="O176" s="2" t="s">
        <v>96</v>
      </c>
      <c r="P176" s="2">
        <v>2026</v>
      </c>
      <c r="Q176" s="2">
        <v>4</v>
      </c>
      <c r="R176" s="2" t="s">
        <v>569</v>
      </c>
      <c r="S176" s="2" t="s">
        <v>133</v>
      </c>
      <c r="T176" s="4" t="s">
        <v>87</v>
      </c>
      <c r="U176" s="4" t="s">
        <v>46</v>
      </c>
      <c r="V176" s="4" t="s">
        <v>46</v>
      </c>
      <c r="W176" s="4" t="s">
        <v>49</v>
      </c>
      <c r="X176" s="4" t="s">
        <v>49</v>
      </c>
      <c r="Y176" s="4" t="s">
        <v>49</v>
      </c>
      <c r="Z176" s="4" t="s">
        <v>98</v>
      </c>
      <c r="AA176" s="4" t="s">
        <v>46</v>
      </c>
      <c r="AB176" s="5">
        <v>150</v>
      </c>
    </row>
    <row r="177" spans="1:28" ht="28.35" customHeight="1">
      <c r="A177" s="2" t="s">
        <v>28</v>
      </c>
      <c r="B177" s="2" t="s">
        <v>29</v>
      </c>
      <c r="C177" s="3" t="s">
        <v>110</v>
      </c>
      <c r="D177" s="3" t="s">
        <v>704</v>
      </c>
      <c r="E177" s="2" t="s">
        <v>751</v>
      </c>
      <c r="F177" s="2" t="s">
        <v>752</v>
      </c>
      <c r="G177" s="2" t="s">
        <v>707</v>
      </c>
      <c r="H177" s="2" t="s">
        <v>35</v>
      </c>
      <c r="I177" s="3" t="s">
        <v>36</v>
      </c>
      <c r="J177" s="3" t="s">
        <v>37</v>
      </c>
      <c r="K177" s="2" t="s">
        <v>38</v>
      </c>
      <c r="L177" s="2"/>
      <c r="M177" s="2" t="s">
        <v>39</v>
      </c>
      <c r="N177" s="3" t="s">
        <v>753</v>
      </c>
      <c r="O177" s="2" t="s">
        <v>754</v>
      </c>
      <c r="P177" s="2">
        <v>2026</v>
      </c>
      <c r="Q177" s="2">
        <v>3</v>
      </c>
      <c r="R177" s="2" t="s">
        <v>618</v>
      </c>
      <c r="S177" s="2" t="s">
        <v>755</v>
      </c>
      <c r="T177" s="4" t="s">
        <v>44</v>
      </c>
      <c r="U177" s="4" t="s">
        <v>60</v>
      </c>
      <c r="V177" s="4" t="s">
        <v>47</v>
      </c>
      <c r="W177" s="4" t="s">
        <v>46</v>
      </c>
      <c r="X177" s="4" t="s">
        <v>49</v>
      </c>
      <c r="Y177" s="4" t="s">
        <v>49</v>
      </c>
      <c r="Z177" s="4" t="s">
        <v>50</v>
      </c>
      <c r="AA177" s="4" t="s">
        <v>46</v>
      </c>
      <c r="AB177" s="5">
        <v>210</v>
      </c>
    </row>
    <row r="178" spans="1:28" ht="28.35" customHeight="1">
      <c r="A178" s="2" t="s">
        <v>28</v>
      </c>
      <c r="B178" s="2" t="s">
        <v>29</v>
      </c>
      <c r="C178" s="3" t="s">
        <v>110</v>
      </c>
      <c r="D178" s="3" t="s">
        <v>704</v>
      </c>
      <c r="E178" s="2" t="s">
        <v>751</v>
      </c>
      <c r="F178" s="2" t="s">
        <v>752</v>
      </c>
      <c r="G178" s="2" t="s">
        <v>707</v>
      </c>
      <c r="H178" s="2" t="s">
        <v>35</v>
      </c>
      <c r="I178" s="3" t="s">
        <v>36</v>
      </c>
      <c r="J178" s="3" t="s">
        <v>37</v>
      </c>
      <c r="K178" s="2" t="s">
        <v>38</v>
      </c>
      <c r="L178" s="2"/>
      <c r="M178" s="2" t="s">
        <v>39</v>
      </c>
      <c r="N178" s="3" t="s">
        <v>542</v>
      </c>
      <c r="O178" s="2" t="s">
        <v>543</v>
      </c>
      <c r="P178" s="2">
        <v>2026</v>
      </c>
      <c r="Q178" s="2">
        <v>5</v>
      </c>
      <c r="R178" s="2" t="s">
        <v>188</v>
      </c>
      <c r="S178" s="2" t="s">
        <v>544</v>
      </c>
      <c r="T178" s="4" t="s">
        <v>44</v>
      </c>
      <c r="U178" s="4" t="s">
        <v>77</v>
      </c>
      <c r="V178" s="4" t="s">
        <v>47</v>
      </c>
      <c r="W178" s="4" t="s">
        <v>49</v>
      </c>
      <c r="X178" s="4" t="s">
        <v>60</v>
      </c>
      <c r="Y178" s="4" t="s">
        <v>49</v>
      </c>
      <c r="Z178" s="4" t="s">
        <v>50</v>
      </c>
      <c r="AA178" s="4" t="s">
        <v>46</v>
      </c>
      <c r="AB178" s="5">
        <v>210</v>
      </c>
    </row>
    <row r="179" spans="1:28" ht="28.35" customHeight="1">
      <c r="A179" s="2" t="s">
        <v>28</v>
      </c>
      <c r="B179" s="2" t="s">
        <v>29</v>
      </c>
      <c r="C179" s="3" t="s">
        <v>110</v>
      </c>
      <c r="D179" s="3" t="s">
        <v>704</v>
      </c>
      <c r="E179" s="2" t="s">
        <v>751</v>
      </c>
      <c r="F179" s="2" t="s">
        <v>752</v>
      </c>
      <c r="G179" s="2" t="s">
        <v>707</v>
      </c>
      <c r="H179" s="2" t="s">
        <v>35</v>
      </c>
      <c r="I179" s="3" t="s">
        <v>36</v>
      </c>
      <c r="J179" s="3" t="s">
        <v>37</v>
      </c>
      <c r="K179" s="2" t="s">
        <v>38</v>
      </c>
      <c r="L179" s="2"/>
      <c r="M179" s="2" t="s">
        <v>39</v>
      </c>
      <c r="N179" s="3" t="s">
        <v>756</v>
      </c>
      <c r="O179" s="2" t="s">
        <v>188</v>
      </c>
      <c r="P179" s="2">
        <v>2026</v>
      </c>
      <c r="Q179" s="2">
        <v>7</v>
      </c>
      <c r="R179" s="2" t="s">
        <v>42</v>
      </c>
      <c r="S179" s="2" t="s">
        <v>757</v>
      </c>
      <c r="T179" s="4" t="s">
        <v>44</v>
      </c>
      <c r="U179" s="4" t="s">
        <v>60</v>
      </c>
      <c r="V179" s="4" t="s">
        <v>47</v>
      </c>
      <c r="W179" s="4" t="s">
        <v>46</v>
      </c>
      <c r="X179" s="4" t="s">
        <v>49</v>
      </c>
      <c r="Y179" s="4" t="s">
        <v>49</v>
      </c>
      <c r="Z179" s="4" t="s">
        <v>50</v>
      </c>
      <c r="AA179" s="4" t="s">
        <v>46</v>
      </c>
      <c r="AB179" s="5">
        <v>210</v>
      </c>
    </row>
    <row r="180" spans="1:28" ht="28.35" customHeight="1">
      <c r="A180" s="2" t="s">
        <v>28</v>
      </c>
      <c r="B180" s="2" t="s">
        <v>29</v>
      </c>
      <c r="C180" s="3" t="s">
        <v>758</v>
      </c>
      <c r="D180" s="3" t="s">
        <v>759</v>
      </c>
      <c r="E180" s="2" t="s">
        <v>760</v>
      </c>
      <c r="F180" s="2" t="s">
        <v>761</v>
      </c>
      <c r="G180" s="2" t="s">
        <v>599</v>
      </c>
      <c r="H180" s="2" t="s">
        <v>35</v>
      </c>
      <c r="I180" s="3" t="s">
        <v>36</v>
      </c>
      <c r="J180" s="3" t="s">
        <v>37</v>
      </c>
      <c r="K180" s="2" t="s">
        <v>72</v>
      </c>
      <c r="L180" s="2"/>
      <c r="M180" s="2" t="s">
        <v>39</v>
      </c>
      <c r="N180" s="3" t="s">
        <v>762</v>
      </c>
      <c r="O180" s="2" t="s">
        <v>455</v>
      </c>
      <c r="P180" s="2">
        <v>2026</v>
      </c>
      <c r="Q180" s="2">
        <v>5</v>
      </c>
      <c r="R180" s="2" t="s">
        <v>100</v>
      </c>
      <c r="S180" s="2" t="s">
        <v>592</v>
      </c>
      <c r="T180" s="4" t="s">
        <v>44</v>
      </c>
      <c r="U180" s="4" t="s">
        <v>763</v>
      </c>
      <c r="V180" s="4" t="s">
        <v>60</v>
      </c>
      <c r="W180" s="4" t="s">
        <v>256</v>
      </c>
      <c r="X180" s="4" t="s">
        <v>49</v>
      </c>
      <c r="Y180" s="4" t="s">
        <v>49</v>
      </c>
      <c r="Z180" s="4" t="s">
        <v>122</v>
      </c>
      <c r="AA180" s="4" t="s">
        <v>46</v>
      </c>
      <c r="AB180" s="5">
        <v>30</v>
      </c>
    </row>
    <row r="181" spans="1:28" ht="28.35" customHeight="1">
      <c r="A181" s="2" t="s">
        <v>28</v>
      </c>
      <c r="B181" s="2" t="s">
        <v>29</v>
      </c>
      <c r="C181" s="3" t="s">
        <v>352</v>
      </c>
      <c r="D181" s="3" t="s">
        <v>386</v>
      </c>
      <c r="E181" s="2" t="s">
        <v>764</v>
      </c>
      <c r="F181" s="2" t="s">
        <v>765</v>
      </c>
      <c r="G181" s="2" t="s">
        <v>599</v>
      </c>
      <c r="H181" s="2" t="s">
        <v>35</v>
      </c>
      <c r="I181" s="3" t="s">
        <v>36</v>
      </c>
      <c r="J181" s="3" t="s">
        <v>558</v>
      </c>
      <c r="K181" s="2" t="s">
        <v>38</v>
      </c>
      <c r="L181" s="2"/>
      <c r="M181" s="2" t="s">
        <v>39</v>
      </c>
      <c r="N181" s="3" t="s">
        <v>766</v>
      </c>
      <c r="O181" s="2" t="s">
        <v>219</v>
      </c>
      <c r="P181" s="2">
        <v>2026</v>
      </c>
      <c r="Q181" s="2">
        <v>3</v>
      </c>
      <c r="R181" s="2" t="s">
        <v>767</v>
      </c>
      <c r="S181" s="2" t="s">
        <v>768</v>
      </c>
      <c r="T181" s="4" t="s">
        <v>562</v>
      </c>
      <c r="U181" s="4" t="s">
        <v>109</v>
      </c>
      <c r="V181" s="4" t="s">
        <v>47</v>
      </c>
      <c r="W181" s="4" t="s">
        <v>47</v>
      </c>
      <c r="X181" s="4" t="s">
        <v>49</v>
      </c>
      <c r="Y181" s="4" t="s">
        <v>49</v>
      </c>
      <c r="Z181" s="4" t="s">
        <v>50</v>
      </c>
      <c r="AA181" s="4" t="s">
        <v>46</v>
      </c>
      <c r="AB181" s="5">
        <v>315</v>
      </c>
    </row>
    <row r="182" spans="1:28" ht="28.35" customHeight="1">
      <c r="A182" s="2" t="s">
        <v>28</v>
      </c>
      <c r="B182" s="2" t="s">
        <v>29</v>
      </c>
      <c r="C182" s="3" t="s">
        <v>212</v>
      </c>
      <c r="D182" s="3" t="s">
        <v>213</v>
      </c>
      <c r="E182" s="2" t="s">
        <v>769</v>
      </c>
      <c r="F182" s="2" t="s">
        <v>770</v>
      </c>
      <c r="G182" s="2" t="s">
        <v>404</v>
      </c>
      <c r="H182" s="2" t="s">
        <v>35</v>
      </c>
      <c r="I182" s="3" t="s">
        <v>36</v>
      </c>
      <c r="J182" s="3" t="s">
        <v>82</v>
      </c>
      <c r="K182" s="2" t="s">
        <v>72</v>
      </c>
      <c r="L182" s="2"/>
      <c r="M182" s="2" t="s">
        <v>39</v>
      </c>
      <c r="N182" s="3" t="s">
        <v>771</v>
      </c>
      <c r="O182" s="2" t="s">
        <v>234</v>
      </c>
      <c r="P182" s="2">
        <v>2026</v>
      </c>
      <c r="Q182" s="2">
        <v>7</v>
      </c>
      <c r="R182" s="2" t="s">
        <v>100</v>
      </c>
      <c r="S182" s="2" t="s">
        <v>299</v>
      </c>
      <c r="T182" s="4" t="s">
        <v>87</v>
      </c>
      <c r="U182" s="4" t="s">
        <v>109</v>
      </c>
      <c r="V182" s="4" t="s">
        <v>47</v>
      </c>
      <c r="W182" s="4" t="s">
        <v>47</v>
      </c>
      <c r="X182" s="4" t="s">
        <v>49</v>
      </c>
      <c r="Y182" s="4" t="s">
        <v>49</v>
      </c>
      <c r="Z182" s="4" t="s">
        <v>78</v>
      </c>
      <c r="AA182" s="4" t="s">
        <v>46</v>
      </c>
      <c r="AB182" s="5">
        <v>38</v>
      </c>
    </row>
    <row r="183" spans="1:28" ht="28.35" customHeight="1">
      <c r="A183" s="2" t="s">
        <v>28</v>
      </c>
      <c r="B183" s="2" t="s">
        <v>29</v>
      </c>
      <c r="C183" s="3" t="s">
        <v>212</v>
      </c>
      <c r="D183" s="3" t="s">
        <v>213</v>
      </c>
      <c r="E183" s="2" t="s">
        <v>769</v>
      </c>
      <c r="F183" s="2" t="s">
        <v>770</v>
      </c>
      <c r="G183" s="2" t="s">
        <v>404</v>
      </c>
      <c r="H183" s="2" t="s">
        <v>240</v>
      </c>
      <c r="I183" s="3" t="s">
        <v>36</v>
      </c>
      <c r="J183" s="3" t="s">
        <v>82</v>
      </c>
      <c r="K183" s="2" t="s">
        <v>38</v>
      </c>
      <c r="L183" s="2"/>
      <c r="M183" s="2" t="s">
        <v>39</v>
      </c>
      <c r="N183" s="3" t="s">
        <v>772</v>
      </c>
      <c r="O183" s="2" t="s">
        <v>96</v>
      </c>
      <c r="P183" s="2">
        <v>2026</v>
      </c>
      <c r="Q183" s="2">
        <v>4</v>
      </c>
      <c r="R183" s="2" t="s">
        <v>773</v>
      </c>
      <c r="S183" s="2" t="s">
        <v>306</v>
      </c>
      <c r="T183" s="4" t="s">
        <v>87</v>
      </c>
      <c r="U183" s="4" t="s">
        <v>109</v>
      </c>
      <c r="V183" s="4" t="s">
        <v>47</v>
      </c>
      <c r="W183" s="4" t="s">
        <v>47</v>
      </c>
      <c r="X183" s="4" t="s">
        <v>49</v>
      </c>
      <c r="Y183" s="4" t="s">
        <v>49</v>
      </c>
      <c r="Z183" s="4" t="s">
        <v>50</v>
      </c>
      <c r="AA183" s="4" t="s">
        <v>46</v>
      </c>
      <c r="AB183" s="5">
        <v>105</v>
      </c>
    </row>
    <row r="184" spans="1:28" ht="28.35" customHeight="1">
      <c r="A184" s="2" t="s">
        <v>28</v>
      </c>
      <c r="B184" s="2" t="s">
        <v>29</v>
      </c>
      <c r="C184" s="3" t="s">
        <v>212</v>
      </c>
      <c r="D184" s="3" t="s">
        <v>213</v>
      </c>
      <c r="E184" s="2" t="s">
        <v>769</v>
      </c>
      <c r="F184" s="2" t="s">
        <v>770</v>
      </c>
      <c r="G184" s="2" t="s">
        <v>404</v>
      </c>
      <c r="H184" s="2" t="s">
        <v>35</v>
      </c>
      <c r="I184" s="3" t="s">
        <v>36</v>
      </c>
      <c r="J184" s="3" t="s">
        <v>82</v>
      </c>
      <c r="K184" s="2" t="s">
        <v>38</v>
      </c>
      <c r="L184" s="2"/>
      <c r="M184" s="2" t="s">
        <v>39</v>
      </c>
      <c r="N184" s="3" t="s">
        <v>774</v>
      </c>
      <c r="O184" s="2" t="s">
        <v>74</v>
      </c>
      <c r="P184" s="2">
        <v>2026</v>
      </c>
      <c r="Q184" s="2">
        <v>6</v>
      </c>
      <c r="R184" s="2" t="s">
        <v>429</v>
      </c>
      <c r="S184" s="2" t="s">
        <v>775</v>
      </c>
      <c r="T184" s="4" t="s">
        <v>87</v>
      </c>
      <c r="U184" s="4" t="s">
        <v>109</v>
      </c>
      <c r="V184" s="4" t="s">
        <v>47</v>
      </c>
      <c r="W184" s="4" t="s">
        <v>47</v>
      </c>
      <c r="X184" s="4" t="s">
        <v>49</v>
      </c>
      <c r="Y184" s="4" t="s">
        <v>49</v>
      </c>
      <c r="Z184" s="4" t="s">
        <v>50</v>
      </c>
      <c r="AA184" s="4" t="s">
        <v>46</v>
      </c>
      <c r="AB184" s="5">
        <v>105</v>
      </c>
    </row>
    <row r="185" spans="1:28" ht="28.35" customHeight="1">
      <c r="A185" s="2" t="s">
        <v>28</v>
      </c>
      <c r="B185" s="2" t="s">
        <v>29</v>
      </c>
      <c r="C185" s="3" t="s">
        <v>212</v>
      </c>
      <c r="D185" s="3" t="s">
        <v>213</v>
      </c>
      <c r="E185" s="2" t="s">
        <v>769</v>
      </c>
      <c r="F185" s="2" t="s">
        <v>770</v>
      </c>
      <c r="G185" s="2" t="s">
        <v>404</v>
      </c>
      <c r="H185" s="2" t="s">
        <v>35</v>
      </c>
      <c r="I185" s="3" t="s">
        <v>36</v>
      </c>
      <c r="J185" s="3" t="s">
        <v>82</v>
      </c>
      <c r="K185" s="2" t="s">
        <v>38</v>
      </c>
      <c r="L185" s="2"/>
      <c r="M185" s="2" t="s">
        <v>39</v>
      </c>
      <c r="N185" s="3" t="s">
        <v>776</v>
      </c>
      <c r="O185" s="2" t="s">
        <v>96</v>
      </c>
      <c r="P185" s="2">
        <v>2026</v>
      </c>
      <c r="Q185" s="2">
        <v>4</v>
      </c>
      <c r="R185" s="2" t="s">
        <v>580</v>
      </c>
      <c r="S185" s="2" t="s">
        <v>145</v>
      </c>
      <c r="T185" s="4" t="s">
        <v>87</v>
      </c>
      <c r="U185" s="4" t="s">
        <v>109</v>
      </c>
      <c r="V185" s="4" t="s">
        <v>47</v>
      </c>
      <c r="W185" s="4" t="s">
        <v>47</v>
      </c>
      <c r="X185" s="4" t="s">
        <v>49</v>
      </c>
      <c r="Y185" s="4" t="s">
        <v>49</v>
      </c>
      <c r="Z185" s="4" t="s">
        <v>50</v>
      </c>
      <c r="AA185" s="4" t="s">
        <v>46</v>
      </c>
      <c r="AB185" s="5">
        <v>105</v>
      </c>
    </row>
    <row r="186" spans="1:28" ht="28.35" customHeight="1">
      <c r="A186" s="2" t="s">
        <v>28</v>
      </c>
      <c r="B186" s="2" t="s">
        <v>29</v>
      </c>
      <c r="C186" s="3" t="s">
        <v>212</v>
      </c>
      <c r="D186" s="3" t="s">
        <v>347</v>
      </c>
      <c r="E186" s="2" t="s">
        <v>777</v>
      </c>
      <c r="F186" s="2" t="s">
        <v>778</v>
      </c>
      <c r="G186" s="2" t="s">
        <v>404</v>
      </c>
      <c r="H186" s="2" t="s">
        <v>35</v>
      </c>
      <c r="I186" s="3" t="s">
        <v>36</v>
      </c>
      <c r="J186" s="3" t="s">
        <v>82</v>
      </c>
      <c r="K186" s="2" t="s">
        <v>38</v>
      </c>
      <c r="L186" s="2"/>
      <c r="M186" s="2" t="s">
        <v>39</v>
      </c>
      <c r="N186" s="3" t="s">
        <v>779</v>
      </c>
      <c r="O186" s="2" t="s">
        <v>74</v>
      </c>
      <c r="P186" s="2">
        <v>2026</v>
      </c>
      <c r="Q186" s="2">
        <v>6</v>
      </c>
      <c r="R186" s="2" t="s">
        <v>144</v>
      </c>
      <c r="S186" s="2" t="s">
        <v>780</v>
      </c>
      <c r="T186" s="4" t="s">
        <v>87</v>
      </c>
      <c r="U186" s="4" t="s">
        <v>60</v>
      </c>
      <c r="V186" s="4" t="s">
        <v>46</v>
      </c>
      <c r="W186" s="4" t="s">
        <v>47</v>
      </c>
      <c r="X186" s="4" t="s">
        <v>49</v>
      </c>
      <c r="Y186" s="4" t="s">
        <v>49</v>
      </c>
      <c r="Z186" s="4" t="s">
        <v>50</v>
      </c>
      <c r="AA186" s="4" t="s">
        <v>46</v>
      </c>
      <c r="AB186" s="5">
        <v>105</v>
      </c>
    </row>
    <row r="187" spans="1:28" ht="28.35" customHeight="1">
      <c r="A187" s="2" t="s">
        <v>28</v>
      </c>
      <c r="B187" s="2" t="s">
        <v>29</v>
      </c>
      <c r="C187" s="3" t="s">
        <v>758</v>
      </c>
      <c r="D187" s="3" t="s">
        <v>781</v>
      </c>
      <c r="E187" s="2" t="s">
        <v>782</v>
      </c>
      <c r="F187" s="2" t="s">
        <v>783</v>
      </c>
      <c r="G187" s="2" t="s">
        <v>404</v>
      </c>
      <c r="H187" s="2" t="s">
        <v>35</v>
      </c>
      <c r="I187" s="3" t="s">
        <v>36</v>
      </c>
      <c r="J187" s="3" t="s">
        <v>37</v>
      </c>
      <c r="K187" s="2" t="s">
        <v>38</v>
      </c>
      <c r="L187" s="2"/>
      <c r="M187" s="2" t="s">
        <v>39</v>
      </c>
      <c r="N187" s="3" t="s">
        <v>784</v>
      </c>
      <c r="O187" s="2" t="s">
        <v>84</v>
      </c>
      <c r="P187" s="2">
        <v>2026</v>
      </c>
      <c r="Q187" s="2">
        <v>3</v>
      </c>
      <c r="R187" s="2" t="s">
        <v>293</v>
      </c>
      <c r="S187" s="2" t="s">
        <v>785</v>
      </c>
      <c r="T187" s="4" t="s">
        <v>44</v>
      </c>
      <c r="U187" s="4" t="s">
        <v>109</v>
      </c>
      <c r="V187" s="4" t="s">
        <v>47</v>
      </c>
      <c r="W187" s="4" t="s">
        <v>47</v>
      </c>
      <c r="X187" s="4" t="s">
        <v>49</v>
      </c>
      <c r="Y187" s="4" t="s">
        <v>49</v>
      </c>
      <c r="Z187" s="4" t="s">
        <v>50</v>
      </c>
      <c r="AA187" s="4" t="s">
        <v>46</v>
      </c>
      <c r="AB187" s="5">
        <v>210</v>
      </c>
    </row>
    <row r="188" spans="1:28" ht="28.35" customHeight="1">
      <c r="A188" s="2" t="s">
        <v>28</v>
      </c>
      <c r="B188" s="2" t="s">
        <v>29</v>
      </c>
      <c r="C188" s="3" t="s">
        <v>758</v>
      </c>
      <c r="D188" s="3" t="s">
        <v>781</v>
      </c>
      <c r="E188" s="2" t="s">
        <v>782</v>
      </c>
      <c r="F188" s="2" t="s">
        <v>783</v>
      </c>
      <c r="G188" s="2" t="s">
        <v>404</v>
      </c>
      <c r="H188" s="2" t="s">
        <v>35</v>
      </c>
      <c r="I188" s="3" t="s">
        <v>36</v>
      </c>
      <c r="J188" s="3" t="s">
        <v>37</v>
      </c>
      <c r="K188" s="2" t="s">
        <v>38</v>
      </c>
      <c r="L188" s="2"/>
      <c r="M188" s="2" t="s">
        <v>39</v>
      </c>
      <c r="N188" s="3" t="s">
        <v>786</v>
      </c>
      <c r="O188" s="2" t="s">
        <v>150</v>
      </c>
      <c r="P188" s="2">
        <v>2026</v>
      </c>
      <c r="Q188" s="2">
        <v>5</v>
      </c>
      <c r="R188" s="2" t="s">
        <v>229</v>
      </c>
      <c r="S188" s="2" t="s">
        <v>787</v>
      </c>
      <c r="T188" s="4" t="s">
        <v>44</v>
      </c>
      <c r="U188" s="4" t="s">
        <v>46</v>
      </c>
      <c r="V188" s="4" t="s">
        <v>46</v>
      </c>
      <c r="W188" s="4" t="s">
        <v>49</v>
      </c>
      <c r="X188" s="4" t="s">
        <v>49</v>
      </c>
      <c r="Y188" s="4" t="s">
        <v>49</v>
      </c>
      <c r="Z188" s="4" t="s">
        <v>98</v>
      </c>
      <c r="AA188" s="4" t="s">
        <v>46</v>
      </c>
      <c r="AB188" s="5">
        <v>300</v>
      </c>
    </row>
    <row r="189" spans="1:28" ht="28.35" customHeight="1">
      <c r="A189" s="2" t="s">
        <v>28</v>
      </c>
      <c r="B189" s="2" t="s">
        <v>29</v>
      </c>
      <c r="C189" s="3" t="s">
        <v>758</v>
      </c>
      <c r="D189" s="3" t="s">
        <v>781</v>
      </c>
      <c r="E189" s="2" t="s">
        <v>782</v>
      </c>
      <c r="F189" s="2" t="s">
        <v>783</v>
      </c>
      <c r="G189" s="2" t="s">
        <v>404</v>
      </c>
      <c r="H189" s="2" t="s">
        <v>35</v>
      </c>
      <c r="I189" s="3" t="s">
        <v>36</v>
      </c>
      <c r="J189" s="3" t="s">
        <v>37</v>
      </c>
      <c r="K189" s="2" t="s">
        <v>38</v>
      </c>
      <c r="L189" s="2"/>
      <c r="M189" s="2" t="s">
        <v>39</v>
      </c>
      <c r="N189" s="3" t="s">
        <v>788</v>
      </c>
      <c r="O189" s="2" t="s">
        <v>84</v>
      </c>
      <c r="P189" s="2">
        <v>2026</v>
      </c>
      <c r="Q189" s="2">
        <v>3</v>
      </c>
      <c r="R189" s="2" t="s">
        <v>336</v>
      </c>
      <c r="S189" s="2" t="s">
        <v>789</v>
      </c>
      <c r="T189" s="4" t="s">
        <v>44</v>
      </c>
      <c r="U189" s="4" t="s">
        <v>46</v>
      </c>
      <c r="V189" s="4" t="s">
        <v>46</v>
      </c>
      <c r="W189" s="4" t="s">
        <v>49</v>
      </c>
      <c r="X189" s="4" t="s">
        <v>49</v>
      </c>
      <c r="Y189" s="4" t="s">
        <v>49</v>
      </c>
      <c r="Z189" s="4" t="s">
        <v>98</v>
      </c>
      <c r="AA189" s="4" t="s">
        <v>46</v>
      </c>
      <c r="AB189" s="5">
        <v>300</v>
      </c>
    </row>
    <row r="190" spans="1:28" ht="28.35" customHeight="1">
      <c r="A190" s="2" t="s">
        <v>28</v>
      </c>
      <c r="B190" s="2" t="s">
        <v>29</v>
      </c>
      <c r="C190" s="3" t="s">
        <v>190</v>
      </c>
      <c r="D190" s="3" t="s">
        <v>191</v>
      </c>
      <c r="E190" s="2" t="s">
        <v>790</v>
      </c>
      <c r="F190" s="2" t="s">
        <v>791</v>
      </c>
      <c r="G190" s="2" t="s">
        <v>404</v>
      </c>
      <c r="H190" s="2" t="s">
        <v>35</v>
      </c>
      <c r="I190" s="3" t="s">
        <v>36</v>
      </c>
      <c r="J190" s="3" t="s">
        <v>37</v>
      </c>
      <c r="K190" s="2" t="s">
        <v>38</v>
      </c>
      <c r="L190" s="2"/>
      <c r="M190" s="2" t="s">
        <v>39</v>
      </c>
      <c r="N190" s="3" t="s">
        <v>792</v>
      </c>
      <c r="O190" s="2" t="s">
        <v>793</v>
      </c>
      <c r="P190" s="2">
        <v>2026</v>
      </c>
      <c r="Q190" s="2">
        <v>5</v>
      </c>
      <c r="R190" s="2" t="s">
        <v>608</v>
      </c>
      <c r="S190" s="2" t="s">
        <v>609</v>
      </c>
      <c r="T190" s="4" t="s">
        <v>44</v>
      </c>
      <c r="U190" s="4" t="s">
        <v>109</v>
      </c>
      <c r="V190" s="4" t="s">
        <v>47</v>
      </c>
      <c r="W190" s="4" t="s">
        <v>47</v>
      </c>
      <c r="X190" s="4" t="s">
        <v>49</v>
      </c>
      <c r="Y190" s="4" t="s">
        <v>49</v>
      </c>
      <c r="Z190" s="4" t="s">
        <v>50</v>
      </c>
      <c r="AA190" s="4" t="s">
        <v>46</v>
      </c>
      <c r="AB190" s="5">
        <v>210</v>
      </c>
    </row>
    <row r="191" spans="1:28" ht="28.35" customHeight="1">
      <c r="A191" s="2" t="s">
        <v>28</v>
      </c>
      <c r="B191" s="2" t="s">
        <v>29</v>
      </c>
      <c r="C191" s="3" t="s">
        <v>190</v>
      </c>
      <c r="D191" s="3" t="s">
        <v>191</v>
      </c>
      <c r="E191" s="2" t="s">
        <v>790</v>
      </c>
      <c r="F191" s="2" t="s">
        <v>791</v>
      </c>
      <c r="G191" s="2" t="s">
        <v>404</v>
      </c>
      <c r="H191" s="2" t="s">
        <v>35</v>
      </c>
      <c r="I191" s="3" t="s">
        <v>36</v>
      </c>
      <c r="J191" s="3" t="s">
        <v>37</v>
      </c>
      <c r="K191" s="2" t="s">
        <v>72</v>
      </c>
      <c r="L191" s="2"/>
      <c r="M191" s="2" t="s">
        <v>39</v>
      </c>
      <c r="N191" s="3" t="s">
        <v>794</v>
      </c>
      <c r="O191" s="2" t="s">
        <v>795</v>
      </c>
      <c r="P191" s="2">
        <v>2026</v>
      </c>
      <c r="Q191" s="2">
        <v>3</v>
      </c>
      <c r="R191" s="2" t="s">
        <v>608</v>
      </c>
      <c r="S191" s="2" t="s">
        <v>396</v>
      </c>
      <c r="T191" s="4" t="s">
        <v>44</v>
      </c>
      <c r="U191" s="4" t="s">
        <v>77</v>
      </c>
      <c r="V191" s="4" t="s">
        <v>47</v>
      </c>
      <c r="W191" s="4" t="s">
        <v>60</v>
      </c>
      <c r="X191" s="4" t="s">
        <v>49</v>
      </c>
      <c r="Y191" s="4" t="s">
        <v>49</v>
      </c>
      <c r="Z191" s="4" t="s">
        <v>379</v>
      </c>
      <c r="AA191" s="4" t="s">
        <v>46</v>
      </c>
      <c r="AB191" s="5">
        <v>60</v>
      </c>
    </row>
    <row r="192" spans="1:28" ht="28.35" customHeight="1">
      <c r="A192" s="2" t="s">
        <v>28</v>
      </c>
      <c r="B192" s="2" t="s">
        <v>29</v>
      </c>
      <c r="C192" s="3" t="s">
        <v>206</v>
      </c>
      <c r="D192" s="3" t="s">
        <v>207</v>
      </c>
      <c r="E192" s="2" t="s">
        <v>796</v>
      </c>
      <c r="F192" s="2" t="s">
        <v>797</v>
      </c>
      <c r="G192" s="2" t="s">
        <v>404</v>
      </c>
      <c r="H192" s="2" t="s">
        <v>35</v>
      </c>
      <c r="I192" s="3" t="s">
        <v>36</v>
      </c>
      <c r="J192" s="3" t="s">
        <v>82</v>
      </c>
      <c r="K192" s="2" t="s">
        <v>38</v>
      </c>
      <c r="L192" s="2"/>
      <c r="M192" s="2" t="s">
        <v>39</v>
      </c>
      <c r="N192" s="3" t="s">
        <v>798</v>
      </c>
      <c r="O192" s="2" t="s">
        <v>219</v>
      </c>
      <c r="P192" s="2">
        <v>2026</v>
      </c>
      <c r="Q192" s="2">
        <v>3</v>
      </c>
      <c r="R192" s="2" t="s">
        <v>247</v>
      </c>
      <c r="S192" s="2" t="s">
        <v>799</v>
      </c>
      <c r="T192" s="4" t="s">
        <v>87</v>
      </c>
      <c r="U192" s="4" t="s">
        <v>46</v>
      </c>
      <c r="V192" s="4" t="s">
        <v>46</v>
      </c>
      <c r="W192" s="4" t="s">
        <v>49</v>
      </c>
      <c r="X192" s="4" t="s">
        <v>49</v>
      </c>
      <c r="Y192" s="4" t="s">
        <v>49</v>
      </c>
      <c r="Z192" s="4" t="s">
        <v>98</v>
      </c>
      <c r="AA192" s="4" t="s">
        <v>46</v>
      </c>
      <c r="AB192" s="5">
        <v>150</v>
      </c>
    </row>
    <row r="193" spans="1:28" ht="28.35" customHeight="1">
      <c r="A193" s="2" t="s">
        <v>28</v>
      </c>
      <c r="B193" s="2" t="s">
        <v>29</v>
      </c>
      <c r="C193" s="3" t="s">
        <v>212</v>
      </c>
      <c r="D193" s="3" t="s">
        <v>484</v>
      </c>
      <c r="E193" s="2" t="s">
        <v>800</v>
      </c>
      <c r="F193" s="2" t="s">
        <v>801</v>
      </c>
      <c r="G193" s="2" t="s">
        <v>404</v>
      </c>
      <c r="H193" s="2" t="s">
        <v>35</v>
      </c>
      <c r="I193" s="3" t="s">
        <v>36</v>
      </c>
      <c r="J193" s="3" t="s">
        <v>37</v>
      </c>
      <c r="K193" s="2" t="s">
        <v>72</v>
      </c>
      <c r="L193" s="2"/>
      <c r="M193" s="2" t="s">
        <v>39</v>
      </c>
      <c r="N193" s="3" t="s">
        <v>802</v>
      </c>
      <c r="O193" s="2" t="s">
        <v>173</v>
      </c>
      <c r="P193" s="2">
        <v>2026</v>
      </c>
      <c r="Q193" s="2">
        <v>4</v>
      </c>
      <c r="R193" s="2" t="s">
        <v>247</v>
      </c>
      <c r="S193" s="2" t="s">
        <v>803</v>
      </c>
      <c r="T193" s="4" t="s">
        <v>44</v>
      </c>
      <c r="U193" s="4" t="s">
        <v>121</v>
      </c>
      <c r="V193" s="4" t="s">
        <v>46</v>
      </c>
      <c r="W193" s="4" t="s">
        <v>88</v>
      </c>
      <c r="X193" s="4" t="s">
        <v>49</v>
      </c>
      <c r="Y193" s="4" t="s">
        <v>49</v>
      </c>
      <c r="Z193" s="4" t="s">
        <v>122</v>
      </c>
      <c r="AA193" s="4" t="s">
        <v>46</v>
      </c>
      <c r="AB193" s="5">
        <v>43</v>
      </c>
    </row>
    <row r="194" spans="1:28" ht="28.35" customHeight="1">
      <c r="A194" s="2" t="s">
        <v>28</v>
      </c>
      <c r="B194" s="2" t="s">
        <v>29</v>
      </c>
      <c r="C194" s="3" t="s">
        <v>236</v>
      </c>
      <c r="D194" s="3" t="s">
        <v>804</v>
      </c>
      <c r="E194" s="2" t="s">
        <v>805</v>
      </c>
      <c r="F194" s="2" t="s">
        <v>806</v>
      </c>
      <c r="G194" s="2" t="s">
        <v>34</v>
      </c>
      <c r="H194" s="2" t="s">
        <v>35</v>
      </c>
      <c r="I194" s="3" t="s">
        <v>36</v>
      </c>
      <c r="J194" s="3" t="s">
        <v>82</v>
      </c>
      <c r="K194" s="2" t="s">
        <v>38</v>
      </c>
      <c r="L194" s="2"/>
      <c r="M194" s="2" t="s">
        <v>39</v>
      </c>
      <c r="N194" s="3" t="s">
        <v>807</v>
      </c>
      <c r="O194" s="2" t="s">
        <v>84</v>
      </c>
      <c r="P194" s="2">
        <v>2026</v>
      </c>
      <c r="Q194" s="2">
        <v>3</v>
      </c>
      <c r="R194" s="2" t="s">
        <v>66</v>
      </c>
      <c r="S194" s="2" t="s">
        <v>715</v>
      </c>
      <c r="T194" s="4" t="s">
        <v>87</v>
      </c>
      <c r="U194" s="4" t="s">
        <v>47</v>
      </c>
      <c r="V194" s="4" t="s">
        <v>46</v>
      </c>
      <c r="W194" s="4" t="s">
        <v>46</v>
      </c>
      <c r="X194" s="4" t="s">
        <v>49</v>
      </c>
      <c r="Y194" s="4" t="s">
        <v>49</v>
      </c>
      <c r="Z194" s="4" t="s">
        <v>50</v>
      </c>
      <c r="AA194" s="4" t="s">
        <v>46</v>
      </c>
      <c r="AB194" s="5">
        <v>105</v>
      </c>
    </row>
    <row r="195" spans="1:28" ht="28.35" customHeight="1">
      <c r="A195" s="2" t="s">
        <v>28</v>
      </c>
      <c r="B195" s="2" t="s">
        <v>29</v>
      </c>
      <c r="C195" s="3" t="s">
        <v>162</v>
      </c>
      <c r="D195" s="3" t="s">
        <v>808</v>
      </c>
      <c r="E195" s="2" t="s">
        <v>809</v>
      </c>
      <c r="F195" s="2" t="s">
        <v>810</v>
      </c>
      <c r="G195" s="2" t="s">
        <v>811</v>
      </c>
      <c r="H195" s="2"/>
      <c r="I195" s="3" t="s">
        <v>166</v>
      </c>
      <c r="J195" s="3"/>
      <c r="K195" s="2"/>
      <c r="L195" s="2" t="s">
        <v>812</v>
      </c>
      <c r="M195" s="2" t="s">
        <v>39</v>
      </c>
      <c r="N195" s="3" t="s">
        <v>813</v>
      </c>
      <c r="O195" s="2" t="s">
        <v>566</v>
      </c>
      <c r="P195" s="2">
        <v>2026</v>
      </c>
      <c r="Q195" s="2">
        <v>4</v>
      </c>
      <c r="R195" s="2" t="s">
        <v>119</v>
      </c>
      <c r="S195" s="2"/>
      <c r="T195" s="4" t="s">
        <v>814</v>
      </c>
      <c r="U195" s="4" t="s">
        <v>46</v>
      </c>
      <c r="V195" s="4" t="s">
        <v>46</v>
      </c>
      <c r="W195" s="4" t="s">
        <v>49</v>
      </c>
      <c r="X195" s="4" t="s">
        <v>49</v>
      </c>
      <c r="Y195" s="4" t="s">
        <v>49</v>
      </c>
      <c r="Z195" s="4" t="s">
        <v>98</v>
      </c>
      <c r="AA195" s="4" t="s">
        <v>46</v>
      </c>
      <c r="AB195" s="5">
        <v>80</v>
      </c>
    </row>
    <row r="196" spans="1:28" ht="28.35" customHeight="1">
      <c r="A196" s="2" t="s">
        <v>28</v>
      </c>
      <c r="B196" s="2" t="s">
        <v>29</v>
      </c>
      <c r="C196" s="3" t="s">
        <v>190</v>
      </c>
      <c r="D196" s="3" t="s">
        <v>258</v>
      </c>
      <c r="E196" s="2" t="s">
        <v>815</v>
      </c>
      <c r="F196" s="2" t="s">
        <v>816</v>
      </c>
      <c r="G196" s="2" t="s">
        <v>404</v>
      </c>
      <c r="H196" s="2" t="s">
        <v>35</v>
      </c>
      <c r="I196" s="3" t="s">
        <v>36</v>
      </c>
      <c r="J196" s="3" t="s">
        <v>37</v>
      </c>
      <c r="K196" s="2" t="s">
        <v>38</v>
      </c>
      <c r="L196" s="2" t="s">
        <v>817</v>
      </c>
      <c r="M196" s="2" t="s">
        <v>39</v>
      </c>
      <c r="N196" s="3" t="s">
        <v>818</v>
      </c>
      <c r="O196" s="2" t="s">
        <v>66</v>
      </c>
      <c r="P196" s="2">
        <v>2026</v>
      </c>
      <c r="Q196" s="2">
        <v>3</v>
      </c>
      <c r="R196" s="2" t="s">
        <v>42</v>
      </c>
      <c r="S196" s="2" t="s">
        <v>819</v>
      </c>
      <c r="T196" s="4" t="s">
        <v>44</v>
      </c>
      <c r="U196" s="4" t="s">
        <v>60</v>
      </c>
      <c r="V196" s="4" t="s">
        <v>46</v>
      </c>
      <c r="W196" s="4" t="s">
        <v>46</v>
      </c>
      <c r="X196" s="4" t="s">
        <v>46</v>
      </c>
      <c r="Y196" s="4" t="s">
        <v>49</v>
      </c>
      <c r="Z196" s="4" t="s">
        <v>50</v>
      </c>
      <c r="AA196" s="4" t="s">
        <v>46</v>
      </c>
      <c r="AB196" s="5">
        <v>210</v>
      </c>
    </row>
    <row r="197" spans="1:28" ht="28.35" customHeight="1">
      <c r="A197" s="2" t="s">
        <v>28</v>
      </c>
      <c r="B197" s="2" t="s">
        <v>29</v>
      </c>
      <c r="C197" s="3" t="s">
        <v>30</v>
      </c>
      <c r="D197" s="3" t="s">
        <v>31</v>
      </c>
      <c r="E197" s="2" t="s">
        <v>820</v>
      </c>
      <c r="F197" s="2" t="s">
        <v>821</v>
      </c>
      <c r="G197" s="2" t="s">
        <v>404</v>
      </c>
      <c r="H197" s="2" t="s">
        <v>35</v>
      </c>
      <c r="I197" s="3" t="s">
        <v>36</v>
      </c>
      <c r="J197" s="3" t="s">
        <v>37</v>
      </c>
      <c r="K197" s="2" t="s">
        <v>38</v>
      </c>
      <c r="L197" s="2"/>
      <c r="M197" s="2" t="s">
        <v>39</v>
      </c>
      <c r="N197" s="3" t="s">
        <v>822</v>
      </c>
      <c r="O197" s="2" t="s">
        <v>150</v>
      </c>
      <c r="P197" s="2">
        <v>2026</v>
      </c>
      <c r="Q197" s="2">
        <v>5</v>
      </c>
      <c r="R197" s="2" t="s">
        <v>823</v>
      </c>
      <c r="S197" s="2" t="s">
        <v>824</v>
      </c>
      <c r="T197" s="4" t="s">
        <v>44</v>
      </c>
      <c r="U197" s="4" t="s">
        <v>744</v>
      </c>
      <c r="V197" s="4" t="s">
        <v>60</v>
      </c>
      <c r="W197" s="4" t="s">
        <v>524</v>
      </c>
      <c r="X197" s="4" t="s">
        <v>49</v>
      </c>
      <c r="Y197" s="4" t="s">
        <v>49</v>
      </c>
      <c r="Z197" s="4" t="s">
        <v>295</v>
      </c>
      <c r="AA197" s="4" t="s">
        <v>46</v>
      </c>
      <c r="AB197" s="5">
        <v>140</v>
      </c>
    </row>
    <row r="198" spans="1:28" ht="28.35" customHeight="1">
      <c r="A198" s="2" t="s">
        <v>28</v>
      </c>
      <c r="B198" s="2" t="s">
        <v>29</v>
      </c>
      <c r="C198" s="3" t="s">
        <v>30</v>
      </c>
      <c r="D198" s="3" t="s">
        <v>31</v>
      </c>
      <c r="E198" s="2" t="s">
        <v>820</v>
      </c>
      <c r="F198" s="2" t="s">
        <v>821</v>
      </c>
      <c r="G198" s="2" t="s">
        <v>404</v>
      </c>
      <c r="H198" s="2" t="s">
        <v>35</v>
      </c>
      <c r="I198" s="3" t="s">
        <v>36</v>
      </c>
      <c r="J198" s="3" t="s">
        <v>37</v>
      </c>
      <c r="K198" s="2" t="s">
        <v>38</v>
      </c>
      <c r="L198" s="2"/>
      <c r="M198" s="2" t="s">
        <v>39</v>
      </c>
      <c r="N198" s="3" t="s">
        <v>825</v>
      </c>
      <c r="O198" s="2" t="s">
        <v>407</v>
      </c>
      <c r="P198" s="2">
        <v>2026</v>
      </c>
      <c r="Q198" s="2">
        <v>3</v>
      </c>
      <c r="R198" s="2" t="s">
        <v>826</v>
      </c>
      <c r="S198" s="2" t="s">
        <v>743</v>
      </c>
      <c r="T198" s="4" t="s">
        <v>44</v>
      </c>
      <c r="U198" s="4" t="s">
        <v>827</v>
      </c>
      <c r="V198" s="4" t="s">
        <v>88</v>
      </c>
      <c r="W198" s="4" t="s">
        <v>48</v>
      </c>
      <c r="X198" s="4" t="s">
        <v>49</v>
      </c>
      <c r="Y198" s="4" t="s">
        <v>49</v>
      </c>
      <c r="Z198" s="4" t="s">
        <v>379</v>
      </c>
      <c r="AA198" s="4" t="s">
        <v>46</v>
      </c>
      <c r="AB198" s="5">
        <v>70</v>
      </c>
    </row>
    <row r="199" spans="1:28" ht="28.35" customHeight="1">
      <c r="A199" s="2" t="s">
        <v>28</v>
      </c>
      <c r="B199" s="2" t="s">
        <v>29</v>
      </c>
      <c r="C199" s="3" t="s">
        <v>30</v>
      </c>
      <c r="D199" s="3" t="s">
        <v>31</v>
      </c>
      <c r="E199" s="2" t="s">
        <v>820</v>
      </c>
      <c r="F199" s="2" t="s">
        <v>821</v>
      </c>
      <c r="G199" s="2" t="s">
        <v>404</v>
      </c>
      <c r="H199" s="2" t="s">
        <v>35</v>
      </c>
      <c r="I199" s="3" t="s">
        <v>36</v>
      </c>
      <c r="J199" s="3" t="s">
        <v>37</v>
      </c>
      <c r="K199" s="2" t="s">
        <v>38</v>
      </c>
      <c r="L199" s="2"/>
      <c r="M199" s="2" t="s">
        <v>39</v>
      </c>
      <c r="N199" s="3" t="s">
        <v>828</v>
      </c>
      <c r="O199" s="2" t="s">
        <v>66</v>
      </c>
      <c r="P199" s="2">
        <v>2026</v>
      </c>
      <c r="Q199" s="2">
        <v>3</v>
      </c>
      <c r="R199" s="2" t="s">
        <v>63</v>
      </c>
      <c r="S199" s="2" t="s">
        <v>829</v>
      </c>
      <c r="T199" s="4" t="s">
        <v>44</v>
      </c>
      <c r="U199" s="4" t="s">
        <v>524</v>
      </c>
      <c r="V199" s="4" t="s">
        <v>121</v>
      </c>
      <c r="W199" s="4" t="s">
        <v>60</v>
      </c>
      <c r="X199" s="4" t="s">
        <v>49</v>
      </c>
      <c r="Y199" s="4" t="s">
        <v>49</v>
      </c>
      <c r="Z199" s="4" t="s">
        <v>379</v>
      </c>
      <c r="AA199" s="4" t="s">
        <v>46</v>
      </c>
      <c r="AB199" s="5">
        <v>60</v>
      </c>
    </row>
    <row r="200" spans="1:28" ht="28.35" customHeight="1">
      <c r="A200" s="2" t="s">
        <v>28</v>
      </c>
      <c r="B200" s="2" t="s">
        <v>29</v>
      </c>
      <c r="C200" s="3" t="s">
        <v>30</v>
      </c>
      <c r="D200" s="3" t="s">
        <v>490</v>
      </c>
      <c r="E200" s="2" t="s">
        <v>830</v>
      </c>
      <c r="F200" s="2" t="s">
        <v>831</v>
      </c>
      <c r="G200" s="2" t="s">
        <v>404</v>
      </c>
      <c r="H200" s="2"/>
      <c r="I200" s="3" t="s">
        <v>114</v>
      </c>
      <c r="J200" s="3" t="s">
        <v>115</v>
      </c>
      <c r="K200" s="2" t="s">
        <v>72</v>
      </c>
      <c r="L200" s="2"/>
      <c r="M200" s="2" t="s">
        <v>39</v>
      </c>
      <c r="N200" s="3" t="s">
        <v>832</v>
      </c>
      <c r="O200" s="2" t="s">
        <v>503</v>
      </c>
      <c r="P200" s="2">
        <v>2026</v>
      </c>
      <c r="Q200" s="2">
        <v>3</v>
      </c>
      <c r="R200" s="2" t="s">
        <v>337</v>
      </c>
      <c r="S200" s="2"/>
      <c r="T200" s="4" t="s">
        <v>120</v>
      </c>
      <c r="U200" s="4" t="s">
        <v>48</v>
      </c>
      <c r="V200" s="4" t="s">
        <v>49</v>
      </c>
      <c r="W200" s="4" t="s">
        <v>48</v>
      </c>
      <c r="X200" s="4" t="s">
        <v>49</v>
      </c>
      <c r="Y200" s="4" t="s">
        <v>49</v>
      </c>
      <c r="Z200" s="4" t="s">
        <v>122</v>
      </c>
      <c r="AA200" s="4" t="s">
        <v>46</v>
      </c>
      <c r="AB200" s="5">
        <v>11</v>
      </c>
    </row>
    <row r="201" spans="1:28" ht="28.35" customHeight="1">
      <c r="A201" s="2" t="s">
        <v>28</v>
      </c>
      <c r="B201" s="2" t="s">
        <v>29</v>
      </c>
      <c r="C201" s="3" t="s">
        <v>30</v>
      </c>
      <c r="D201" s="3" t="s">
        <v>490</v>
      </c>
      <c r="E201" s="2" t="s">
        <v>830</v>
      </c>
      <c r="F201" s="2" t="s">
        <v>831</v>
      </c>
      <c r="G201" s="2" t="s">
        <v>404</v>
      </c>
      <c r="H201" s="2" t="s">
        <v>35</v>
      </c>
      <c r="I201" s="3" t="s">
        <v>36</v>
      </c>
      <c r="J201" s="3" t="s">
        <v>37</v>
      </c>
      <c r="K201" s="2" t="s">
        <v>38</v>
      </c>
      <c r="L201" s="2"/>
      <c r="M201" s="2" t="s">
        <v>39</v>
      </c>
      <c r="N201" s="3" t="s">
        <v>833</v>
      </c>
      <c r="O201" s="2" t="s">
        <v>176</v>
      </c>
      <c r="P201" s="2">
        <v>2026</v>
      </c>
      <c r="Q201" s="2">
        <v>3</v>
      </c>
      <c r="R201" s="2" t="s">
        <v>566</v>
      </c>
      <c r="S201" s="2" t="s">
        <v>775</v>
      </c>
      <c r="T201" s="4" t="s">
        <v>44</v>
      </c>
      <c r="U201" s="4" t="s">
        <v>46</v>
      </c>
      <c r="V201" s="4" t="s">
        <v>46</v>
      </c>
      <c r="W201" s="4" t="s">
        <v>49</v>
      </c>
      <c r="X201" s="4" t="s">
        <v>49</v>
      </c>
      <c r="Y201" s="4" t="s">
        <v>49</v>
      </c>
      <c r="Z201" s="4" t="s">
        <v>98</v>
      </c>
      <c r="AA201" s="4" t="s">
        <v>46</v>
      </c>
      <c r="AB201" s="5">
        <v>300</v>
      </c>
    </row>
    <row r="202" spans="1:28" ht="28.35" customHeight="1">
      <c r="A202" s="2" t="s">
        <v>28</v>
      </c>
      <c r="B202" s="2" t="s">
        <v>29</v>
      </c>
      <c r="C202" s="3" t="s">
        <v>322</v>
      </c>
      <c r="D202" s="3" t="s">
        <v>735</v>
      </c>
      <c r="E202" s="2" t="s">
        <v>834</v>
      </c>
      <c r="F202" s="2" t="s">
        <v>835</v>
      </c>
      <c r="G202" s="2" t="s">
        <v>599</v>
      </c>
      <c r="H202" s="2"/>
      <c r="I202" s="3" t="s">
        <v>114</v>
      </c>
      <c r="J202" s="3" t="s">
        <v>115</v>
      </c>
      <c r="K202" s="2" t="s">
        <v>72</v>
      </c>
      <c r="L202" s="2" t="s">
        <v>836</v>
      </c>
      <c r="M202" s="2" t="s">
        <v>39</v>
      </c>
      <c r="N202" s="3" t="s">
        <v>837</v>
      </c>
      <c r="O202" s="2" t="s">
        <v>838</v>
      </c>
      <c r="P202" s="2">
        <v>2026</v>
      </c>
      <c r="Q202" s="2">
        <v>3</v>
      </c>
      <c r="R202" s="2" t="s">
        <v>337</v>
      </c>
      <c r="S202" s="2"/>
      <c r="T202" s="4" t="s">
        <v>120</v>
      </c>
      <c r="U202" s="4" t="s">
        <v>256</v>
      </c>
      <c r="V202" s="4" t="s">
        <v>49</v>
      </c>
      <c r="W202" s="4" t="s">
        <v>256</v>
      </c>
      <c r="X202" s="4" t="s">
        <v>49</v>
      </c>
      <c r="Y202" s="4" t="s">
        <v>49</v>
      </c>
      <c r="Z202" s="4" t="s">
        <v>122</v>
      </c>
      <c r="AA202" s="4" t="s">
        <v>46</v>
      </c>
      <c r="AB202" s="5">
        <v>13</v>
      </c>
    </row>
    <row r="203" spans="1:28" ht="28.35" customHeight="1">
      <c r="A203" s="2" t="s">
        <v>28</v>
      </c>
      <c r="B203" s="2" t="s">
        <v>29</v>
      </c>
      <c r="C203" s="3" t="s">
        <v>322</v>
      </c>
      <c r="D203" s="3" t="s">
        <v>735</v>
      </c>
      <c r="E203" s="2" t="s">
        <v>834</v>
      </c>
      <c r="F203" s="2" t="s">
        <v>835</v>
      </c>
      <c r="G203" s="2" t="s">
        <v>599</v>
      </c>
      <c r="H203" s="2" t="s">
        <v>35</v>
      </c>
      <c r="I203" s="3" t="s">
        <v>36</v>
      </c>
      <c r="J203" s="3" t="s">
        <v>558</v>
      </c>
      <c r="K203" s="2" t="s">
        <v>38</v>
      </c>
      <c r="L203" s="2"/>
      <c r="M203" s="2" t="s">
        <v>39</v>
      </c>
      <c r="N203" s="3" t="s">
        <v>839</v>
      </c>
      <c r="O203" s="2" t="s">
        <v>840</v>
      </c>
      <c r="P203" s="2">
        <v>2026</v>
      </c>
      <c r="Q203" s="2">
        <v>7</v>
      </c>
      <c r="R203" s="2" t="s">
        <v>204</v>
      </c>
      <c r="S203" s="2" t="s">
        <v>841</v>
      </c>
      <c r="T203" s="4" t="s">
        <v>562</v>
      </c>
      <c r="U203" s="4" t="s">
        <v>46</v>
      </c>
      <c r="V203" s="4" t="s">
        <v>46</v>
      </c>
      <c r="W203" s="4" t="s">
        <v>49</v>
      </c>
      <c r="X203" s="4" t="s">
        <v>49</v>
      </c>
      <c r="Y203" s="4" t="s">
        <v>49</v>
      </c>
      <c r="Z203" s="4" t="s">
        <v>98</v>
      </c>
      <c r="AA203" s="4" t="s">
        <v>46</v>
      </c>
      <c r="AB203" s="5">
        <v>450</v>
      </c>
    </row>
    <row r="204" spans="1:28" ht="28.35" customHeight="1">
      <c r="A204" s="2" t="s">
        <v>28</v>
      </c>
      <c r="B204" s="2" t="s">
        <v>29</v>
      </c>
      <c r="C204" s="3" t="s">
        <v>110</v>
      </c>
      <c r="D204" s="3" t="s">
        <v>842</v>
      </c>
      <c r="E204" s="2" t="s">
        <v>843</v>
      </c>
      <c r="F204" s="2" t="s">
        <v>844</v>
      </c>
      <c r="G204" s="2" t="s">
        <v>590</v>
      </c>
      <c r="H204" s="2" t="s">
        <v>35</v>
      </c>
      <c r="I204" s="3" t="s">
        <v>36</v>
      </c>
      <c r="J204" s="3" t="s">
        <v>82</v>
      </c>
      <c r="K204" s="2" t="s">
        <v>38</v>
      </c>
      <c r="L204" s="2"/>
      <c r="M204" s="2" t="s">
        <v>39</v>
      </c>
      <c r="N204" s="3" t="s">
        <v>845</v>
      </c>
      <c r="O204" s="2" t="s">
        <v>254</v>
      </c>
      <c r="P204" s="2">
        <v>2026</v>
      </c>
      <c r="Q204" s="2">
        <v>3</v>
      </c>
      <c r="R204" s="2" t="s">
        <v>580</v>
      </c>
      <c r="S204" s="2" t="s">
        <v>220</v>
      </c>
      <c r="T204" s="4" t="s">
        <v>87</v>
      </c>
      <c r="U204" s="4" t="s">
        <v>46</v>
      </c>
      <c r="V204" s="4" t="s">
        <v>46</v>
      </c>
      <c r="W204" s="4" t="s">
        <v>49</v>
      </c>
      <c r="X204" s="4" t="s">
        <v>49</v>
      </c>
      <c r="Y204" s="4" t="s">
        <v>49</v>
      </c>
      <c r="Z204" s="4" t="s">
        <v>98</v>
      </c>
      <c r="AA204" s="4" t="s">
        <v>46</v>
      </c>
      <c r="AB204" s="5">
        <v>150</v>
      </c>
    </row>
    <row r="205" spans="1:28" ht="28.35" customHeight="1">
      <c r="A205" s="2" t="s">
        <v>28</v>
      </c>
      <c r="B205" s="2" t="s">
        <v>29</v>
      </c>
      <c r="C205" s="3" t="s">
        <v>90</v>
      </c>
      <c r="D205" s="3" t="s">
        <v>846</v>
      </c>
      <c r="E205" s="2" t="s">
        <v>847</v>
      </c>
      <c r="F205" s="2" t="s">
        <v>848</v>
      </c>
      <c r="G205" s="2" t="s">
        <v>707</v>
      </c>
      <c r="H205" s="2" t="s">
        <v>35</v>
      </c>
      <c r="I205" s="3" t="s">
        <v>36</v>
      </c>
      <c r="J205" s="3" t="s">
        <v>279</v>
      </c>
      <c r="K205" s="2" t="s">
        <v>38</v>
      </c>
      <c r="L205" s="2"/>
      <c r="M205" s="2" t="s">
        <v>39</v>
      </c>
      <c r="N205" s="3" t="s">
        <v>849</v>
      </c>
      <c r="O205" s="2" t="s">
        <v>219</v>
      </c>
      <c r="P205" s="2">
        <v>2026</v>
      </c>
      <c r="Q205" s="2">
        <v>3</v>
      </c>
      <c r="R205" s="2" t="s">
        <v>180</v>
      </c>
      <c r="S205" s="2" t="s">
        <v>67</v>
      </c>
      <c r="T205" s="4" t="s">
        <v>87</v>
      </c>
      <c r="U205" s="4" t="s">
        <v>47</v>
      </c>
      <c r="V205" s="4" t="s">
        <v>47</v>
      </c>
      <c r="W205" s="4" t="s">
        <v>49</v>
      </c>
      <c r="X205" s="4" t="s">
        <v>49</v>
      </c>
      <c r="Y205" s="4" t="s">
        <v>49</v>
      </c>
      <c r="Z205" s="4" t="s">
        <v>50</v>
      </c>
      <c r="AA205" s="4" t="s">
        <v>46</v>
      </c>
      <c r="AB205" s="5">
        <v>105</v>
      </c>
    </row>
    <row r="206" spans="1:28" ht="28.35" customHeight="1">
      <c r="A206" s="2" t="s">
        <v>28</v>
      </c>
      <c r="B206" s="2" t="s">
        <v>29</v>
      </c>
      <c r="C206" s="3" t="s">
        <v>90</v>
      </c>
      <c r="D206" s="3" t="s">
        <v>846</v>
      </c>
      <c r="E206" s="2" t="s">
        <v>847</v>
      </c>
      <c r="F206" s="2" t="s">
        <v>848</v>
      </c>
      <c r="G206" s="2" t="s">
        <v>707</v>
      </c>
      <c r="H206" s="2" t="s">
        <v>35</v>
      </c>
      <c r="I206" s="3" t="s">
        <v>36</v>
      </c>
      <c r="J206" s="3" t="s">
        <v>82</v>
      </c>
      <c r="K206" s="2" t="s">
        <v>38</v>
      </c>
      <c r="L206" s="2"/>
      <c r="M206" s="2" t="s">
        <v>39</v>
      </c>
      <c r="N206" s="3" t="s">
        <v>850</v>
      </c>
      <c r="O206" s="2" t="s">
        <v>74</v>
      </c>
      <c r="P206" s="2">
        <v>2026</v>
      </c>
      <c r="Q206" s="2">
        <v>6</v>
      </c>
      <c r="R206" s="2" t="s">
        <v>851</v>
      </c>
      <c r="S206" s="2" t="s">
        <v>852</v>
      </c>
      <c r="T206" s="4" t="s">
        <v>87</v>
      </c>
      <c r="U206" s="4" t="s">
        <v>46</v>
      </c>
      <c r="V206" s="4" t="s">
        <v>46</v>
      </c>
      <c r="W206" s="4" t="s">
        <v>49</v>
      </c>
      <c r="X206" s="4" t="s">
        <v>49</v>
      </c>
      <c r="Y206" s="4" t="s">
        <v>49</v>
      </c>
      <c r="Z206" s="4" t="s">
        <v>98</v>
      </c>
      <c r="AA206" s="4" t="s">
        <v>46</v>
      </c>
      <c r="AB206" s="5">
        <v>150</v>
      </c>
    </row>
    <row r="207" spans="1:28" ht="28.35" customHeight="1">
      <c r="A207" s="2" t="s">
        <v>28</v>
      </c>
      <c r="B207" s="2" t="s">
        <v>29</v>
      </c>
      <c r="C207" s="3" t="s">
        <v>90</v>
      </c>
      <c r="D207" s="3" t="s">
        <v>846</v>
      </c>
      <c r="E207" s="2" t="s">
        <v>847</v>
      </c>
      <c r="F207" s="2" t="s">
        <v>848</v>
      </c>
      <c r="G207" s="2" t="s">
        <v>707</v>
      </c>
      <c r="H207" s="2" t="s">
        <v>35</v>
      </c>
      <c r="I207" s="3" t="s">
        <v>36</v>
      </c>
      <c r="J207" s="3" t="s">
        <v>131</v>
      </c>
      <c r="K207" s="2" t="s">
        <v>38</v>
      </c>
      <c r="L207" s="2"/>
      <c r="M207" s="2" t="s">
        <v>39</v>
      </c>
      <c r="N207" s="3" t="s">
        <v>853</v>
      </c>
      <c r="O207" s="2" t="s">
        <v>128</v>
      </c>
      <c r="P207" s="2">
        <v>2026</v>
      </c>
      <c r="Q207" s="2">
        <v>5</v>
      </c>
      <c r="R207" s="2" t="s">
        <v>851</v>
      </c>
      <c r="S207" s="2" t="s">
        <v>854</v>
      </c>
      <c r="T207" s="4" t="s">
        <v>134</v>
      </c>
      <c r="U207" s="4" t="s">
        <v>46</v>
      </c>
      <c r="V207" s="4" t="s">
        <v>46</v>
      </c>
      <c r="W207" s="4" t="s">
        <v>49</v>
      </c>
      <c r="X207" s="4" t="s">
        <v>49</v>
      </c>
      <c r="Y207" s="4" t="s">
        <v>49</v>
      </c>
      <c r="Z207" s="4" t="s">
        <v>98</v>
      </c>
      <c r="AA207" s="4" t="s">
        <v>46</v>
      </c>
      <c r="AB207" s="5">
        <v>105</v>
      </c>
    </row>
    <row r="208" spans="1:28" ht="28.35" customHeight="1">
      <c r="A208" s="2" t="s">
        <v>28</v>
      </c>
      <c r="B208" s="2" t="s">
        <v>29</v>
      </c>
      <c r="C208" s="3" t="s">
        <v>90</v>
      </c>
      <c r="D208" s="3" t="s">
        <v>846</v>
      </c>
      <c r="E208" s="2" t="s">
        <v>847</v>
      </c>
      <c r="F208" s="2" t="s">
        <v>848</v>
      </c>
      <c r="G208" s="2" t="s">
        <v>707</v>
      </c>
      <c r="H208" s="2" t="s">
        <v>35</v>
      </c>
      <c r="I208" s="3" t="s">
        <v>36</v>
      </c>
      <c r="J208" s="3" t="s">
        <v>82</v>
      </c>
      <c r="K208" s="2" t="s">
        <v>38</v>
      </c>
      <c r="L208" s="2"/>
      <c r="M208" s="2" t="s">
        <v>39</v>
      </c>
      <c r="N208" s="3" t="s">
        <v>855</v>
      </c>
      <c r="O208" s="2" t="s">
        <v>74</v>
      </c>
      <c r="P208" s="2">
        <v>2026</v>
      </c>
      <c r="Q208" s="2">
        <v>6</v>
      </c>
      <c r="R208" s="2" t="s">
        <v>851</v>
      </c>
      <c r="S208" s="2" t="s">
        <v>852</v>
      </c>
      <c r="T208" s="4" t="s">
        <v>87</v>
      </c>
      <c r="U208" s="4" t="s">
        <v>47</v>
      </c>
      <c r="V208" s="4" t="s">
        <v>46</v>
      </c>
      <c r="W208" s="4" t="s">
        <v>46</v>
      </c>
      <c r="X208" s="4" t="s">
        <v>49</v>
      </c>
      <c r="Y208" s="4" t="s">
        <v>49</v>
      </c>
      <c r="Z208" s="4" t="s">
        <v>50</v>
      </c>
      <c r="AA208" s="4" t="s">
        <v>46</v>
      </c>
      <c r="AB208" s="5">
        <v>105</v>
      </c>
    </row>
    <row r="209" spans="1:28" ht="28.35" customHeight="1">
      <c r="A209" s="2" t="s">
        <v>28</v>
      </c>
      <c r="B209" s="2" t="s">
        <v>29</v>
      </c>
      <c r="C209" s="3" t="s">
        <v>68</v>
      </c>
      <c r="D209" s="3" t="s">
        <v>499</v>
      </c>
      <c r="E209" s="2" t="s">
        <v>856</v>
      </c>
      <c r="F209" s="2" t="s">
        <v>857</v>
      </c>
      <c r="G209" s="2" t="s">
        <v>404</v>
      </c>
      <c r="H209" s="2" t="s">
        <v>35</v>
      </c>
      <c r="I209" s="3" t="s">
        <v>36</v>
      </c>
      <c r="J209" s="3" t="s">
        <v>37</v>
      </c>
      <c r="K209" s="2" t="s">
        <v>38</v>
      </c>
      <c r="L209" s="2"/>
      <c r="M209" s="2" t="s">
        <v>39</v>
      </c>
      <c r="N209" s="3" t="s">
        <v>858</v>
      </c>
      <c r="O209" s="2" t="s">
        <v>144</v>
      </c>
      <c r="P209" s="2">
        <v>2026</v>
      </c>
      <c r="Q209" s="2">
        <v>7</v>
      </c>
      <c r="R209" s="2" t="s">
        <v>58</v>
      </c>
      <c r="S209" s="2" t="s">
        <v>859</v>
      </c>
      <c r="T209" s="4" t="s">
        <v>44</v>
      </c>
      <c r="U209" s="4" t="s">
        <v>256</v>
      </c>
      <c r="V209" s="4" t="s">
        <v>77</v>
      </c>
      <c r="W209" s="4" t="s">
        <v>60</v>
      </c>
      <c r="X209" s="4" t="s">
        <v>49</v>
      </c>
      <c r="Y209" s="4" t="s">
        <v>49</v>
      </c>
      <c r="Z209" s="4" t="s">
        <v>78</v>
      </c>
      <c r="AA209" s="4" t="s">
        <v>46</v>
      </c>
      <c r="AB209" s="5">
        <v>84</v>
      </c>
    </row>
    <row r="210" spans="1:28" ht="28.35" customHeight="1">
      <c r="A210" s="2" t="s">
        <v>28</v>
      </c>
      <c r="B210" s="2" t="s">
        <v>29</v>
      </c>
      <c r="C210" s="3" t="s">
        <v>68</v>
      </c>
      <c r="D210" s="3" t="s">
        <v>499</v>
      </c>
      <c r="E210" s="2" t="s">
        <v>856</v>
      </c>
      <c r="F210" s="2" t="s">
        <v>857</v>
      </c>
      <c r="G210" s="2" t="s">
        <v>404</v>
      </c>
      <c r="H210" s="2" t="s">
        <v>35</v>
      </c>
      <c r="I210" s="3" t="s">
        <v>36</v>
      </c>
      <c r="J210" s="3" t="s">
        <v>37</v>
      </c>
      <c r="K210" s="2" t="s">
        <v>38</v>
      </c>
      <c r="L210" s="2"/>
      <c r="M210" s="2" t="s">
        <v>39</v>
      </c>
      <c r="N210" s="3" t="s">
        <v>860</v>
      </c>
      <c r="O210" s="2" t="s">
        <v>861</v>
      </c>
      <c r="P210" s="2">
        <v>2026</v>
      </c>
      <c r="Q210" s="2">
        <v>8</v>
      </c>
      <c r="R210" s="2" t="s">
        <v>58</v>
      </c>
      <c r="S210" s="2" t="s">
        <v>862</v>
      </c>
      <c r="T210" s="4" t="s">
        <v>44</v>
      </c>
      <c r="U210" s="4" t="s">
        <v>77</v>
      </c>
      <c r="V210" s="4" t="s">
        <v>60</v>
      </c>
      <c r="W210" s="4" t="s">
        <v>47</v>
      </c>
      <c r="X210" s="4" t="s">
        <v>49</v>
      </c>
      <c r="Y210" s="4" t="s">
        <v>49</v>
      </c>
      <c r="Z210" s="4" t="s">
        <v>295</v>
      </c>
      <c r="AA210" s="4" t="s">
        <v>46</v>
      </c>
      <c r="AB210" s="5">
        <v>140</v>
      </c>
    </row>
    <row r="211" spans="1:28" ht="28.35" customHeight="1">
      <c r="A211" s="2" t="s">
        <v>28</v>
      </c>
      <c r="B211" s="2" t="s">
        <v>29</v>
      </c>
      <c r="C211" s="3" t="s">
        <v>68</v>
      </c>
      <c r="D211" s="3" t="s">
        <v>499</v>
      </c>
      <c r="E211" s="2" t="s">
        <v>856</v>
      </c>
      <c r="F211" s="2" t="s">
        <v>857</v>
      </c>
      <c r="G211" s="2" t="s">
        <v>404</v>
      </c>
      <c r="H211" s="2" t="s">
        <v>35</v>
      </c>
      <c r="I211" s="3" t="s">
        <v>36</v>
      </c>
      <c r="J211" s="3" t="s">
        <v>37</v>
      </c>
      <c r="K211" s="2" t="s">
        <v>38</v>
      </c>
      <c r="L211" s="2"/>
      <c r="M211" s="2" t="s">
        <v>39</v>
      </c>
      <c r="N211" s="3" t="s">
        <v>863</v>
      </c>
      <c r="O211" s="2" t="s">
        <v>864</v>
      </c>
      <c r="P211" s="2">
        <v>2026</v>
      </c>
      <c r="Q211" s="2">
        <v>6</v>
      </c>
      <c r="R211" s="2" t="s">
        <v>107</v>
      </c>
      <c r="S211" s="2" t="s">
        <v>865</v>
      </c>
      <c r="T211" s="4" t="s">
        <v>44</v>
      </c>
      <c r="U211" s="4" t="s">
        <v>88</v>
      </c>
      <c r="V211" s="4" t="s">
        <v>109</v>
      </c>
      <c r="W211" s="4" t="s">
        <v>49</v>
      </c>
      <c r="X211" s="4" t="s">
        <v>47</v>
      </c>
      <c r="Y211" s="4" t="s">
        <v>49</v>
      </c>
      <c r="Z211" s="4" t="s">
        <v>257</v>
      </c>
      <c r="AA211" s="4" t="s">
        <v>46</v>
      </c>
      <c r="AB211" s="5">
        <v>105</v>
      </c>
    </row>
    <row r="212" spans="1:28" ht="28.35" customHeight="1">
      <c r="A212" s="2" t="s">
        <v>28</v>
      </c>
      <c r="B212" s="2" t="s">
        <v>29</v>
      </c>
      <c r="C212" s="3" t="s">
        <v>30</v>
      </c>
      <c r="D212" s="3" t="s">
        <v>331</v>
      </c>
      <c r="E212" s="2" t="s">
        <v>866</v>
      </c>
      <c r="F212" s="2" t="s">
        <v>867</v>
      </c>
      <c r="G212" s="2" t="s">
        <v>404</v>
      </c>
      <c r="H212" s="2"/>
      <c r="I212" s="3" t="s">
        <v>114</v>
      </c>
      <c r="J212" s="3" t="s">
        <v>115</v>
      </c>
      <c r="K212" s="2" t="s">
        <v>72</v>
      </c>
      <c r="L212" s="2" t="s">
        <v>868</v>
      </c>
      <c r="M212" s="2" t="s">
        <v>39</v>
      </c>
      <c r="N212" s="3" t="s">
        <v>335</v>
      </c>
      <c r="O212" s="2" t="s">
        <v>336</v>
      </c>
      <c r="P212" s="2">
        <v>2026</v>
      </c>
      <c r="Q212" s="2">
        <v>3</v>
      </c>
      <c r="R212" s="2" t="s">
        <v>419</v>
      </c>
      <c r="S212" s="2"/>
      <c r="T212" s="4" t="s">
        <v>120</v>
      </c>
      <c r="U212" s="4" t="s">
        <v>46</v>
      </c>
      <c r="V212" s="4" t="s">
        <v>49</v>
      </c>
      <c r="W212" s="4" t="s">
        <v>46</v>
      </c>
      <c r="X212" s="4" t="s">
        <v>49</v>
      </c>
      <c r="Y212" s="4" t="s">
        <v>49</v>
      </c>
      <c r="Z212" s="4" t="s">
        <v>98</v>
      </c>
      <c r="AA212" s="4" t="s">
        <v>46</v>
      </c>
      <c r="AB212" s="5">
        <v>10</v>
      </c>
    </row>
    <row r="213" spans="1:28" ht="28.35" customHeight="1">
      <c r="A213" s="2" t="s">
        <v>28</v>
      </c>
      <c r="B213" s="2" t="s">
        <v>29</v>
      </c>
      <c r="C213" s="3" t="s">
        <v>30</v>
      </c>
      <c r="D213" s="3" t="s">
        <v>331</v>
      </c>
      <c r="E213" s="2" t="s">
        <v>866</v>
      </c>
      <c r="F213" s="2" t="s">
        <v>867</v>
      </c>
      <c r="G213" s="2" t="s">
        <v>404</v>
      </c>
      <c r="H213" s="2" t="s">
        <v>35</v>
      </c>
      <c r="I213" s="3" t="s">
        <v>36</v>
      </c>
      <c r="J213" s="3" t="s">
        <v>37</v>
      </c>
      <c r="K213" s="2" t="s">
        <v>72</v>
      </c>
      <c r="L213" s="2"/>
      <c r="M213" s="2" t="s">
        <v>39</v>
      </c>
      <c r="N213" s="3" t="s">
        <v>869</v>
      </c>
      <c r="O213" s="2" t="s">
        <v>870</v>
      </c>
      <c r="P213" s="2">
        <v>2026</v>
      </c>
      <c r="Q213" s="2">
        <v>7</v>
      </c>
      <c r="R213" s="2" t="s">
        <v>75</v>
      </c>
      <c r="S213" s="2" t="s">
        <v>871</v>
      </c>
      <c r="T213" s="4" t="s">
        <v>44</v>
      </c>
      <c r="U213" s="4" t="s">
        <v>872</v>
      </c>
      <c r="V213" s="4" t="s">
        <v>60</v>
      </c>
      <c r="W213" s="4" t="s">
        <v>873</v>
      </c>
      <c r="X213" s="4" t="s">
        <v>49</v>
      </c>
      <c r="Y213" s="4" t="s">
        <v>49</v>
      </c>
      <c r="Z213" s="4" t="s">
        <v>122</v>
      </c>
      <c r="AA213" s="4" t="s">
        <v>46</v>
      </c>
      <c r="AB213" s="5">
        <v>30</v>
      </c>
    </row>
    <row r="214" spans="1:28" ht="28.35" customHeight="1">
      <c r="A214" s="2" t="s">
        <v>28</v>
      </c>
      <c r="B214" s="2" t="s">
        <v>29</v>
      </c>
      <c r="C214" s="3" t="s">
        <v>30</v>
      </c>
      <c r="D214" s="3" t="s">
        <v>331</v>
      </c>
      <c r="E214" s="2" t="s">
        <v>866</v>
      </c>
      <c r="F214" s="2" t="s">
        <v>867</v>
      </c>
      <c r="G214" s="2" t="s">
        <v>404</v>
      </c>
      <c r="H214" s="2" t="s">
        <v>35</v>
      </c>
      <c r="I214" s="3" t="s">
        <v>36</v>
      </c>
      <c r="J214" s="3" t="s">
        <v>37</v>
      </c>
      <c r="K214" s="2" t="s">
        <v>38</v>
      </c>
      <c r="L214" s="2"/>
      <c r="M214" s="2" t="s">
        <v>39</v>
      </c>
      <c r="N214" s="3" t="s">
        <v>874</v>
      </c>
      <c r="O214" s="2" t="s">
        <v>151</v>
      </c>
      <c r="P214" s="2">
        <v>2026</v>
      </c>
      <c r="Q214" s="2">
        <v>5</v>
      </c>
      <c r="R214" s="2" t="s">
        <v>75</v>
      </c>
      <c r="S214" s="2" t="s">
        <v>875</v>
      </c>
      <c r="T214" s="4" t="s">
        <v>44</v>
      </c>
      <c r="U214" s="4" t="s">
        <v>77</v>
      </c>
      <c r="V214" s="4" t="s">
        <v>47</v>
      </c>
      <c r="W214" s="4" t="s">
        <v>60</v>
      </c>
      <c r="X214" s="4" t="s">
        <v>49</v>
      </c>
      <c r="Y214" s="4" t="s">
        <v>49</v>
      </c>
      <c r="Z214" s="4" t="s">
        <v>50</v>
      </c>
      <c r="AA214" s="4" t="s">
        <v>46</v>
      </c>
      <c r="AB214" s="5">
        <v>210</v>
      </c>
    </row>
    <row r="215" spans="1:28" ht="28.35" customHeight="1">
      <c r="A215" s="2" t="s">
        <v>28</v>
      </c>
      <c r="B215" s="2" t="s">
        <v>29</v>
      </c>
      <c r="C215" s="3" t="s">
        <v>30</v>
      </c>
      <c r="D215" s="3" t="s">
        <v>331</v>
      </c>
      <c r="E215" s="2" t="s">
        <v>866</v>
      </c>
      <c r="F215" s="2" t="s">
        <v>867</v>
      </c>
      <c r="G215" s="2" t="s">
        <v>404</v>
      </c>
      <c r="H215" s="2" t="s">
        <v>35</v>
      </c>
      <c r="I215" s="3" t="s">
        <v>36</v>
      </c>
      <c r="J215" s="3" t="s">
        <v>37</v>
      </c>
      <c r="K215" s="2" t="s">
        <v>72</v>
      </c>
      <c r="L215" s="2"/>
      <c r="M215" s="2" t="s">
        <v>39</v>
      </c>
      <c r="N215" s="3" t="s">
        <v>876</v>
      </c>
      <c r="O215" s="2" t="s">
        <v>339</v>
      </c>
      <c r="P215" s="2">
        <v>2026</v>
      </c>
      <c r="Q215" s="2">
        <v>7</v>
      </c>
      <c r="R215" s="2" t="s">
        <v>75</v>
      </c>
      <c r="S215" s="2" t="s">
        <v>877</v>
      </c>
      <c r="T215" s="4" t="s">
        <v>44</v>
      </c>
      <c r="U215" s="4" t="s">
        <v>878</v>
      </c>
      <c r="V215" s="4" t="s">
        <v>47</v>
      </c>
      <c r="W215" s="4" t="s">
        <v>45</v>
      </c>
      <c r="X215" s="4" t="s">
        <v>49</v>
      </c>
      <c r="Y215" s="4" t="s">
        <v>49</v>
      </c>
      <c r="Z215" s="4" t="s">
        <v>122</v>
      </c>
      <c r="AA215" s="4" t="s">
        <v>46</v>
      </c>
      <c r="AB215" s="5">
        <v>30</v>
      </c>
    </row>
    <row r="216" spans="1:28" ht="28.35" customHeight="1">
      <c r="A216" s="2" t="s">
        <v>28</v>
      </c>
      <c r="B216" s="2" t="s">
        <v>29</v>
      </c>
      <c r="C216" s="3" t="s">
        <v>352</v>
      </c>
      <c r="D216" s="3" t="s">
        <v>353</v>
      </c>
      <c r="E216" s="2" t="s">
        <v>879</v>
      </c>
      <c r="F216" s="2" t="s">
        <v>880</v>
      </c>
      <c r="G216" s="2" t="s">
        <v>404</v>
      </c>
      <c r="H216" s="2" t="s">
        <v>35</v>
      </c>
      <c r="I216" s="3" t="s">
        <v>36</v>
      </c>
      <c r="J216" s="3" t="s">
        <v>82</v>
      </c>
      <c r="K216" s="2" t="s">
        <v>38</v>
      </c>
      <c r="L216" s="2"/>
      <c r="M216" s="2" t="s">
        <v>39</v>
      </c>
      <c r="N216" s="3" t="s">
        <v>881</v>
      </c>
      <c r="O216" s="2" t="s">
        <v>580</v>
      </c>
      <c r="P216" s="2">
        <v>2026</v>
      </c>
      <c r="Q216" s="2">
        <v>5</v>
      </c>
      <c r="R216" s="2" t="s">
        <v>429</v>
      </c>
      <c r="S216" s="2" t="s">
        <v>446</v>
      </c>
      <c r="T216" s="4" t="s">
        <v>87</v>
      </c>
      <c r="U216" s="4" t="s">
        <v>60</v>
      </c>
      <c r="V216" s="4" t="s">
        <v>47</v>
      </c>
      <c r="W216" s="4" t="s">
        <v>46</v>
      </c>
      <c r="X216" s="4" t="s">
        <v>49</v>
      </c>
      <c r="Y216" s="4" t="s">
        <v>49</v>
      </c>
      <c r="Z216" s="4" t="s">
        <v>50</v>
      </c>
      <c r="AA216" s="4" t="s">
        <v>46</v>
      </c>
      <c r="AB216" s="5">
        <v>105</v>
      </c>
    </row>
    <row r="217" spans="1:28" ht="28.35" customHeight="1">
      <c r="A217" s="2" t="s">
        <v>28</v>
      </c>
      <c r="B217" s="2" t="s">
        <v>29</v>
      </c>
      <c r="C217" s="3" t="s">
        <v>51</v>
      </c>
      <c r="D217" s="3" t="s">
        <v>52</v>
      </c>
      <c r="E217" s="2" t="s">
        <v>882</v>
      </c>
      <c r="F217" s="2" t="s">
        <v>883</v>
      </c>
      <c r="G217" s="2" t="s">
        <v>590</v>
      </c>
      <c r="H217" s="2" t="s">
        <v>35</v>
      </c>
      <c r="I217" s="3" t="s">
        <v>36</v>
      </c>
      <c r="J217" s="3" t="s">
        <v>82</v>
      </c>
      <c r="K217" s="2" t="s">
        <v>38</v>
      </c>
      <c r="L217" s="2"/>
      <c r="M217" s="2" t="s">
        <v>39</v>
      </c>
      <c r="N217" s="3" t="s">
        <v>884</v>
      </c>
      <c r="O217" s="2" t="s">
        <v>74</v>
      </c>
      <c r="P217" s="2">
        <v>2026</v>
      </c>
      <c r="Q217" s="2">
        <v>6</v>
      </c>
      <c r="R217" s="2" t="s">
        <v>885</v>
      </c>
      <c r="S217" s="2" t="s">
        <v>886</v>
      </c>
      <c r="T217" s="4" t="s">
        <v>87</v>
      </c>
      <c r="U217" s="4" t="s">
        <v>46</v>
      </c>
      <c r="V217" s="4" t="s">
        <v>46</v>
      </c>
      <c r="W217" s="4" t="s">
        <v>49</v>
      </c>
      <c r="X217" s="4" t="s">
        <v>49</v>
      </c>
      <c r="Y217" s="4" t="s">
        <v>49</v>
      </c>
      <c r="Z217" s="4" t="s">
        <v>98</v>
      </c>
      <c r="AA217" s="4" t="s">
        <v>46</v>
      </c>
      <c r="AB217" s="5">
        <v>150</v>
      </c>
    </row>
    <row r="218" spans="1:28" ht="28.35" customHeight="1">
      <c r="A218" s="2" t="s">
        <v>28</v>
      </c>
      <c r="B218" s="2" t="s">
        <v>29</v>
      </c>
      <c r="C218" s="3" t="s">
        <v>190</v>
      </c>
      <c r="D218" s="3" t="s">
        <v>368</v>
      </c>
      <c r="E218" s="2" t="s">
        <v>887</v>
      </c>
      <c r="F218" s="2" t="s">
        <v>888</v>
      </c>
      <c r="G218" s="2" t="s">
        <v>404</v>
      </c>
      <c r="H218" s="2" t="s">
        <v>35</v>
      </c>
      <c r="I218" s="3" t="s">
        <v>36</v>
      </c>
      <c r="J218" s="3" t="s">
        <v>37</v>
      </c>
      <c r="K218" s="2" t="s">
        <v>72</v>
      </c>
      <c r="L218" s="2"/>
      <c r="M218" s="2" t="s">
        <v>39</v>
      </c>
      <c r="N218" s="3" t="s">
        <v>889</v>
      </c>
      <c r="O218" s="2" t="s">
        <v>628</v>
      </c>
      <c r="P218" s="2">
        <v>2026</v>
      </c>
      <c r="Q218" s="2">
        <v>4</v>
      </c>
      <c r="R218" s="2" t="s">
        <v>413</v>
      </c>
      <c r="S218" s="2" t="s">
        <v>890</v>
      </c>
      <c r="T218" s="4" t="s">
        <v>44</v>
      </c>
      <c r="U218" s="4" t="s">
        <v>77</v>
      </c>
      <c r="V218" s="4" t="s">
        <v>47</v>
      </c>
      <c r="W218" s="4" t="s">
        <v>60</v>
      </c>
      <c r="X218" s="4" t="s">
        <v>49</v>
      </c>
      <c r="Y218" s="4" t="s">
        <v>49</v>
      </c>
      <c r="Z218" s="4" t="s">
        <v>379</v>
      </c>
      <c r="AA218" s="4" t="s">
        <v>46</v>
      </c>
      <c r="AB218" s="5">
        <v>60</v>
      </c>
    </row>
    <row r="219" spans="1:28" ht="28.35" customHeight="1">
      <c r="A219" s="2" t="s">
        <v>28</v>
      </c>
      <c r="B219" s="2" t="s">
        <v>29</v>
      </c>
      <c r="C219" s="3" t="s">
        <v>190</v>
      </c>
      <c r="D219" s="3" t="s">
        <v>368</v>
      </c>
      <c r="E219" s="2" t="s">
        <v>887</v>
      </c>
      <c r="F219" s="2" t="s">
        <v>888</v>
      </c>
      <c r="G219" s="2" t="s">
        <v>404</v>
      </c>
      <c r="H219" s="2" t="s">
        <v>35</v>
      </c>
      <c r="I219" s="3" t="s">
        <v>36</v>
      </c>
      <c r="J219" s="3" t="s">
        <v>279</v>
      </c>
      <c r="K219" s="2" t="s">
        <v>38</v>
      </c>
      <c r="L219" s="2"/>
      <c r="M219" s="2" t="s">
        <v>39</v>
      </c>
      <c r="N219" s="3" t="s">
        <v>891</v>
      </c>
      <c r="O219" s="2" t="s">
        <v>254</v>
      </c>
      <c r="P219" s="2">
        <v>2026</v>
      </c>
      <c r="Q219" s="2">
        <v>3</v>
      </c>
      <c r="R219" s="2" t="s">
        <v>144</v>
      </c>
      <c r="S219" s="2" t="s">
        <v>373</v>
      </c>
      <c r="T219" s="4" t="s">
        <v>87</v>
      </c>
      <c r="U219" s="4" t="s">
        <v>60</v>
      </c>
      <c r="V219" s="4" t="s">
        <v>47</v>
      </c>
      <c r="W219" s="4" t="s">
        <v>46</v>
      </c>
      <c r="X219" s="4" t="s">
        <v>49</v>
      </c>
      <c r="Y219" s="4" t="s">
        <v>49</v>
      </c>
      <c r="Z219" s="4" t="s">
        <v>50</v>
      </c>
      <c r="AA219" s="4" t="s">
        <v>46</v>
      </c>
      <c r="AB219" s="5">
        <v>105</v>
      </c>
    </row>
    <row r="220" spans="1:28" ht="28.35" customHeight="1">
      <c r="A220" s="2" t="s">
        <v>28</v>
      </c>
      <c r="B220" s="2" t="s">
        <v>29</v>
      </c>
      <c r="C220" s="3" t="s">
        <v>206</v>
      </c>
      <c r="D220" s="3" t="s">
        <v>643</v>
      </c>
      <c r="E220" s="2" t="s">
        <v>892</v>
      </c>
      <c r="F220" s="2" t="s">
        <v>893</v>
      </c>
      <c r="G220" s="2" t="s">
        <v>404</v>
      </c>
      <c r="H220" s="2"/>
      <c r="I220" s="3" t="s">
        <v>114</v>
      </c>
      <c r="J220" s="3" t="s">
        <v>894</v>
      </c>
      <c r="K220" s="2" t="s">
        <v>38</v>
      </c>
      <c r="L220" s="2" t="s">
        <v>167</v>
      </c>
      <c r="M220" s="2" t="s">
        <v>39</v>
      </c>
      <c r="N220" s="3" t="s">
        <v>895</v>
      </c>
      <c r="O220" s="2" t="s">
        <v>57</v>
      </c>
      <c r="P220" s="2">
        <v>2026</v>
      </c>
      <c r="Q220" s="2">
        <v>4</v>
      </c>
      <c r="R220" s="2" t="s">
        <v>119</v>
      </c>
      <c r="S220" s="2"/>
      <c r="T220" s="4" t="s">
        <v>44</v>
      </c>
      <c r="U220" s="4" t="s">
        <v>46</v>
      </c>
      <c r="V220" s="4" t="s">
        <v>46</v>
      </c>
      <c r="W220" s="4" t="s">
        <v>49</v>
      </c>
      <c r="X220" s="4" t="s">
        <v>49</v>
      </c>
      <c r="Y220" s="4" t="s">
        <v>49</v>
      </c>
      <c r="Z220" s="4" t="s">
        <v>98</v>
      </c>
      <c r="AA220" s="4" t="s">
        <v>46</v>
      </c>
      <c r="AB220" s="5">
        <v>300</v>
      </c>
    </row>
    <row r="221" spans="1:28" ht="28.35" customHeight="1">
      <c r="A221" s="2" t="s">
        <v>28</v>
      </c>
      <c r="B221" s="2" t="s">
        <v>29</v>
      </c>
      <c r="C221" s="3" t="s">
        <v>206</v>
      </c>
      <c r="D221" s="3" t="s">
        <v>643</v>
      </c>
      <c r="E221" s="2" t="s">
        <v>892</v>
      </c>
      <c r="F221" s="2" t="s">
        <v>893</v>
      </c>
      <c r="G221" s="2" t="s">
        <v>404</v>
      </c>
      <c r="H221" s="2"/>
      <c r="I221" s="3" t="s">
        <v>114</v>
      </c>
      <c r="J221" s="3" t="s">
        <v>896</v>
      </c>
      <c r="K221" s="2" t="s">
        <v>72</v>
      </c>
      <c r="L221" s="2" t="s">
        <v>167</v>
      </c>
      <c r="M221" s="2" t="s">
        <v>39</v>
      </c>
      <c r="N221" s="3" t="s">
        <v>897</v>
      </c>
      <c r="O221" s="2" t="s">
        <v>219</v>
      </c>
      <c r="P221" s="2">
        <v>2026</v>
      </c>
      <c r="Q221" s="2">
        <v>3</v>
      </c>
      <c r="R221" s="2" t="s">
        <v>119</v>
      </c>
      <c r="S221" s="2"/>
      <c r="T221" s="4" t="s">
        <v>87</v>
      </c>
      <c r="U221" s="4" t="s">
        <v>121</v>
      </c>
      <c r="V221" s="4" t="s">
        <v>47</v>
      </c>
      <c r="W221" s="4" t="s">
        <v>109</v>
      </c>
      <c r="X221" s="4" t="s">
        <v>49</v>
      </c>
      <c r="Y221" s="4" t="s">
        <v>46</v>
      </c>
      <c r="Z221" s="4" t="s">
        <v>379</v>
      </c>
      <c r="AA221" s="4" t="s">
        <v>46</v>
      </c>
      <c r="AB221" s="5">
        <v>25</v>
      </c>
    </row>
    <row r="222" spans="1:28" ht="28.35" customHeight="1">
      <c r="A222" s="2" t="s">
        <v>28</v>
      </c>
      <c r="B222" s="2" t="s">
        <v>29</v>
      </c>
      <c r="C222" s="3" t="s">
        <v>206</v>
      </c>
      <c r="D222" s="3" t="s">
        <v>643</v>
      </c>
      <c r="E222" s="2" t="s">
        <v>892</v>
      </c>
      <c r="F222" s="2" t="s">
        <v>893</v>
      </c>
      <c r="G222" s="2" t="s">
        <v>404</v>
      </c>
      <c r="H222" s="2" t="s">
        <v>35</v>
      </c>
      <c r="I222" s="3" t="s">
        <v>36</v>
      </c>
      <c r="J222" s="3" t="s">
        <v>82</v>
      </c>
      <c r="K222" s="2" t="s">
        <v>38</v>
      </c>
      <c r="L222" s="2"/>
      <c r="M222" s="2" t="s">
        <v>39</v>
      </c>
      <c r="N222" s="3" t="s">
        <v>898</v>
      </c>
      <c r="O222" s="2" t="s">
        <v>96</v>
      </c>
      <c r="P222" s="2">
        <v>2026</v>
      </c>
      <c r="Q222" s="2">
        <v>4</v>
      </c>
      <c r="R222" s="2" t="s">
        <v>242</v>
      </c>
      <c r="S222" s="2" t="s">
        <v>899</v>
      </c>
      <c r="T222" s="4" t="s">
        <v>87</v>
      </c>
      <c r="U222" s="4" t="s">
        <v>46</v>
      </c>
      <c r="V222" s="4" t="s">
        <v>46</v>
      </c>
      <c r="W222" s="4" t="s">
        <v>49</v>
      </c>
      <c r="X222" s="4" t="s">
        <v>49</v>
      </c>
      <c r="Y222" s="4" t="s">
        <v>49</v>
      </c>
      <c r="Z222" s="4" t="s">
        <v>98</v>
      </c>
      <c r="AA222" s="4" t="s">
        <v>46</v>
      </c>
      <c r="AB222" s="5">
        <v>150</v>
      </c>
    </row>
    <row r="223" spans="1:28" ht="28.35" customHeight="1">
      <c r="A223" s="2" t="s">
        <v>28</v>
      </c>
      <c r="B223" s="2" t="s">
        <v>29</v>
      </c>
      <c r="C223" s="3" t="s">
        <v>206</v>
      </c>
      <c r="D223" s="3" t="s">
        <v>643</v>
      </c>
      <c r="E223" s="2" t="s">
        <v>892</v>
      </c>
      <c r="F223" s="2" t="s">
        <v>893</v>
      </c>
      <c r="G223" s="2" t="s">
        <v>404</v>
      </c>
      <c r="H223" s="2" t="s">
        <v>35</v>
      </c>
      <c r="I223" s="3" t="s">
        <v>36</v>
      </c>
      <c r="J223" s="3" t="s">
        <v>82</v>
      </c>
      <c r="K223" s="2" t="s">
        <v>38</v>
      </c>
      <c r="L223" s="2"/>
      <c r="M223" s="2" t="s">
        <v>39</v>
      </c>
      <c r="N223" s="3" t="s">
        <v>900</v>
      </c>
      <c r="O223" s="2" t="s">
        <v>100</v>
      </c>
      <c r="P223" s="2">
        <v>2026</v>
      </c>
      <c r="Q223" s="2">
        <v>8</v>
      </c>
      <c r="R223" s="2" t="s">
        <v>100</v>
      </c>
      <c r="S223" s="2" t="s">
        <v>901</v>
      </c>
      <c r="T223" s="4" t="s">
        <v>87</v>
      </c>
      <c r="U223" s="4" t="s">
        <v>46</v>
      </c>
      <c r="V223" s="4" t="s">
        <v>46</v>
      </c>
      <c r="W223" s="4" t="s">
        <v>49</v>
      </c>
      <c r="X223" s="4" t="s">
        <v>49</v>
      </c>
      <c r="Y223" s="4" t="s">
        <v>49</v>
      </c>
      <c r="Z223" s="4" t="s">
        <v>98</v>
      </c>
      <c r="AA223" s="4" t="s">
        <v>46</v>
      </c>
      <c r="AB223" s="5">
        <v>150</v>
      </c>
    </row>
    <row r="224" spans="1:28" ht="28.35" customHeight="1">
      <c r="A224" s="2" t="s">
        <v>28</v>
      </c>
      <c r="B224" s="2" t="s">
        <v>29</v>
      </c>
      <c r="C224" s="3" t="s">
        <v>212</v>
      </c>
      <c r="D224" s="3" t="s">
        <v>347</v>
      </c>
      <c r="E224" s="2" t="s">
        <v>902</v>
      </c>
      <c r="F224" s="2" t="s">
        <v>903</v>
      </c>
      <c r="G224" s="2" t="s">
        <v>404</v>
      </c>
      <c r="H224" s="2" t="s">
        <v>35</v>
      </c>
      <c r="I224" s="3" t="s">
        <v>36</v>
      </c>
      <c r="J224" s="3" t="s">
        <v>82</v>
      </c>
      <c r="K224" s="2" t="s">
        <v>38</v>
      </c>
      <c r="L224" s="2"/>
      <c r="M224" s="2" t="s">
        <v>39</v>
      </c>
      <c r="N224" s="3" t="s">
        <v>904</v>
      </c>
      <c r="O224" s="2" t="s">
        <v>100</v>
      </c>
      <c r="P224" s="2">
        <v>2026</v>
      </c>
      <c r="Q224" s="2">
        <v>8</v>
      </c>
      <c r="R224" s="2" t="s">
        <v>58</v>
      </c>
      <c r="S224" s="2" t="s">
        <v>905</v>
      </c>
      <c r="T224" s="4" t="s">
        <v>87</v>
      </c>
      <c r="U224" s="4" t="s">
        <v>47</v>
      </c>
      <c r="V224" s="4" t="s">
        <v>47</v>
      </c>
      <c r="W224" s="4" t="s">
        <v>49</v>
      </c>
      <c r="X224" s="4" t="s">
        <v>49</v>
      </c>
      <c r="Y224" s="4" t="s">
        <v>49</v>
      </c>
      <c r="Z224" s="4" t="s">
        <v>50</v>
      </c>
      <c r="AA224" s="4" t="s">
        <v>46</v>
      </c>
      <c r="AB224" s="5">
        <v>105</v>
      </c>
    </row>
    <row r="225" spans="1:29" ht="28.35" customHeight="1">
      <c r="A225" s="2" t="s">
        <v>28</v>
      </c>
      <c r="B225" s="2" t="s">
        <v>29</v>
      </c>
      <c r="C225" s="3" t="s">
        <v>212</v>
      </c>
      <c r="D225" s="3" t="s">
        <v>347</v>
      </c>
      <c r="E225" s="2" t="s">
        <v>902</v>
      </c>
      <c r="F225" s="2" t="s">
        <v>903</v>
      </c>
      <c r="G225" s="2" t="s">
        <v>404</v>
      </c>
      <c r="H225" s="2" t="s">
        <v>35</v>
      </c>
      <c r="I225" s="3" t="s">
        <v>36</v>
      </c>
      <c r="J225" s="3" t="s">
        <v>82</v>
      </c>
      <c r="K225" s="2" t="s">
        <v>38</v>
      </c>
      <c r="L225" s="2"/>
      <c r="M225" s="2" t="s">
        <v>39</v>
      </c>
      <c r="N225" s="3" t="s">
        <v>906</v>
      </c>
      <c r="O225" s="2" t="s">
        <v>74</v>
      </c>
      <c r="P225" s="2">
        <v>2026</v>
      </c>
      <c r="Q225" s="2">
        <v>6</v>
      </c>
      <c r="R225" s="2" t="s">
        <v>58</v>
      </c>
      <c r="S225" s="2" t="s">
        <v>581</v>
      </c>
      <c r="T225" s="4" t="s">
        <v>87</v>
      </c>
      <c r="U225" s="4" t="s">
        <v>47</v>
      </c>
      <c r="V225" s="4" t="s">
        <v>47</v>
      </c>
      <c r="W225" s="4" t="s">
        <v>49</v>
      </c>
      <c r="X225" s="4" t="s">
        <v>49</v>
      </c>
      <c r="Y225" s="4" t="s">
        <v>49</v>
      </c>
      <c r="Z225" s="4" t="s">
        <v>50</v>
      </c>
      <c r="AA225" s="4" t="s">
        <v>46</v>
      </c>
      <c r="AB225" s="5">
        <v>105</v>
      </c>
    </row>
    <row r="226" spans="1:29" ht="28.35" customHeight="1">
      <c r="A226" s="2" t="s">
        <v>28</v>
      </c>
      <c r="B226" s="2" t="s">
        <v>29</v>
      </c>
      <c r="C226" s="3" t="s">
        <v>212</v>
      </c>
      <c r="D226" s="3" t="s">
        <v>347</v>
      </c>
      <c r="E226" s="2" t="s">
        <v>902</v>
      </c>
      <c r="F226" s="2" t="s">
        <v>903</v>
      </c>
      <c r="G226" s="2" t="s">
        <v>404</v>
      </c>
      <c r="H226" s="2" t="s">
        <v>35</v>
      </c>
      <c r="I226" s="3" t="s">
        <v>36</v>
      </c>
      <c r="J226" s="3" t="s">
        <v>82</v>
      </c>
      <c r="K226" s="2" t="s">
        <v>38</v>
      </c>
      <c r="L226" s="2"/>
      <c r="M226" s="2" t="s">
        <v>39</v>
      </c>
      <c r="N226" s="3" t="s">
        <v>907</v>
      </c>
      <c r="O226" s="2" t="s">
        <v>234</v>
      </c>
      <c r="P226" s="2">
        <v>2026</v>
      </c>
      <c r="Q226" s="2">
        <v>7</v>
      </c>
      <c r="R226" s="2" t="s">
        <v>58</v>
      </c>
      <c r="S226" s="2" t="s">
        <v>555</v>
      </c>
      <c r="T226" s="4" t="s">
        <v>87</v>
      </c>
      <c r="U226" s="4" t="s">
        <v>60</v>
      </c>
      <c r="V226" s="4" t="s">
        <v>47</v>
      </c>
      <c r="W226" s="4" t="s">
        <v>46</v>
      </c>
      <c r="X226" s="4" t="s">
        <v>49</v>
      </c>
      <c r="Y226" s="4" t="s">
        <v>49</v>
      </c>
      <c r="Z226" s="4" t="s">
        <v>50</v>
      </c>
      <c r="AA226" s="4" t="s">
        <v>46</v>
      </c>
      <c r="AB226" s="5">
        <v>105</v>
      </c>
    </row>
    <row r="227" spans="1:29" ht="28.35" customHeight="1">
      <c r="A227" s="2" t="s">
        <v>28</v>
      </c>
      <c r="B227" s="2" t="s">
        <v>29</v>
      </c>
      <c r="C227" s="3" t="s">
        <v>138</v>
      </c>
      <c r="D227" s="3" t="s">
        <v>908</v>
      </c>
      <c r="E227" s="2" t="s">
        <v>909</v>
      </c>
      <c r="F227" s="2" t="s">
        <v>910</v>
      </c>
      <c r="G227" s="2" t="s">
        <v>404</v>
      </c>
      <c r="H227" s="2" t="s">
        <v>35</v>
      </c>
      <c r="I227" s="3" t="s">
        <v>36</v>
      </c>
      <c r="J227" s="3" t="s">
        <v>37</v>
      </c>
      <c r="K227" s="2" t="s">
        <v>72</v>
      </c>
      <c r="L227" s="2"/>
      <c r="M227" s="2" t="s">
        <v>39</v>
      </c>
      <c r="N227" s="3" t="s">
        <v>911</v>
      </c>
      <c r="O227" s="2" t="s">
        <v>912</v>
      </c>
      <c r="P227" s="2">
        <v>2026</v>
      </c>
      <c r="Q227" s="2">
        <v>4</v>
      </c>
      <c r="R227" s="2" t="s">
        <v>412</v>
      </c>
      <c r="S227" s="2" t="s">
        <v>913</v>
      </c>
      <c r="T227" s="4" t="s">
        <v>44</v>
      </c>
      <c r="U227" s="4" t="s">
        <v>121</v>
      </c>
      <c r="V227" s="4" t="s">
        <v>47</v>
      </c>
      <c r="W227" s="4" t="s">
        <v>77</v>
      </c>
      <c r="X227" s="4" t="s">
        <v>49</v>
      </c>
      <c r="Y227" s="4" t="s">
        <v>49</v>
      </c>
      <c r="Z227" s="4" t="s">
        <v>122</v>
      </c>
      <c r="AA227" s="4" t="s">
        <v>46</v>
      </c>
      <c r="AB227" s="5">
        <v>43</v>
      </c>
    </row>
    <row r="228" spans="1:29" ht="28.35" customHeight="1">
      <c r="A228" s="2" t="s">
        <v>28</v>
      </c>
      <c r="B228" s="2" t="s">
        <v>29</v>
      </c>
      <c r="C228" s="3" t="s">
        <v>68</v>
      </c>
      <c r="D228" s="3" t="s">
        <v>620</v>
      </c>
      <c r="E228" s="2" t="s">
        <v>914</v>
      </c>
      <c r="F228" s="2" t="s">
        <v>915</v>
      </c>
      <c r="G228" s="2" t="s">
        <v>916</v>
      </c>
      <c r="H228" s="2" t="s">
        <v>35</v>
      </c>
      <c r="I228" s="3" t="s">
        <v>36</v>
      </c>
      <c r="J228" s="3" t="s">
        <v>82</v>
      </c>
      <c r="K228" s="2" t="s">
        <v>38</v>
      </c>
      <c r="L228" s="2"/>
      <c r="M228" s="2" t="s">
        <v>39</v>
      </c>
      <c r="N228" s="3" t="s">
        <v>917</v>
      </c>
      <c r="O228" s="2" t="s">
        <v>100</v>
      </c>
      <c r="P228" s="2">
        <v>2026</v>
      </c>
      <c r="Q228" s="2">
        <v>8</v>
      </c>
      <c r="R228" s="2" t="s">
        <v>58</v>
      </c>
      <c r="S228" s="2" t="s">
        <v>918</v>
      </c>
      <c r="T228" s="4" t="s">
        <v>87</v>
      </c>
      <c r="U228" s="4" t="s">
        <v>77</v>
      </c>
      <c r="V228" s="4" t="s">
        <v>47</v>
      </c>
      <c r="W228" s="4" t="s">
        <v>47</v>
      </c>
      <c r="X228" s="4" t="s">
        <v>46</v>
      </c>
      <c r="Y228" s="4" t="s">
        <v>49</v>
      </c>
      <c r="Z228" s="4" t="s">
        <v>50</v>
      </c>
      <c r="AA228" s="4" t="s">
        <v>46</v>
      </c>
      <c r="AB228" s="5">
        <v>105</v>
      </c>
    </row>
    <row r="229" spans="1:29" ht="28.35" customHeight="1">
      <c r="A229" s="2" t="s">
        <v>28</v>
      </c>
      <c r="B229" s="2" t="s">
        <v>29</v>
      </c>
      <c r="C229" s="3" t="s">
        <v>68</v>
      </c>
      <c r="D229" s="3" t="s">
        <v>919</v>
      </c>
      <c r="E229" s="2" t="s">
        <v>920</v>
      </c>
      <c r="F229" s="2" t="s">
        <v>921</v>
      </c>
      <c r="G229" s="2" t="s">
        <v>404</v>
      </c>
      <c r="H229" s="2" t="s">
        <v>35</v>
      </c>
      <c r="I229" s="3" t="s">
        <v>36</v>
      </c>
      <c r="J229" s="3" t="s">
        <v>37</v>
      </c>
      <c r="K229" s="2" t="s">
        <v>38</v>
      </c>
      <c r="L229" s="2"/>
      <c r="M229" s="2" t="s">
        <v>39</v>
      </c>
      <c r="N229" s="3" t="s">
        <v>922</v>
      </c>
      <c r="O229" s="2" t="s">
        <v>580</v>
      </c>
      <c r="P229" s="2">
        <v>2026</v>
      </c>
      <c r="Q229" s="2">
        <v>5</v>
      </c>
      <c r="R229" s="2" t="s">
        <v>413</v>
      </c>
      <c r="S229" s="2" t="s">
        <v>923</v>
      </c>
      <c r="T229" s="4" t="s">
        <v>44</v>
      </c>
      <c r="U229" s="4" t="s">
        <v>878</v>
      </c>
      <c r="V229" s="4" t="s">
        <v>77</v>
      </c>
      <c r="W229" s="4" t="s">
        <v>48</v>
      </c>
      <c r="X229" s="4" t="s">
        <v>49</v>
      </c>
      <c r="Y229" s="4" t="s">
        <v>49</v>
      </c>
      <c r="Z229" s="4" t="s">
        <v>78</v>
      </c>
      <c r="AA229" s="4" t="s">
        <v>46</v>
      </c>
      <c r="AB229" s="5">
        <v>84</v>
      </c>
    </row>
    <row r="230" spans="1:29" ht="28.35" customHeight="1">
      <c r="A230" s="2" t="s">
        <v>28</v>
      </c>
      <c r="B230" s="2" t="s">
        <v>29</v>
      </c>
      <c r="C230" s="3" t="s">
        <v>68</v>
      </c>
      <c r="D230" s="3" t="s">
        <v>408</v>
      </c>
      <c r="E230" s="2" t="s">
        <v>924</v>
      </c>
      <c r="F230" s="2" t="s">
        <v>925</v>
      </c>
      <c r="G230" s="2" t="s">
        <v>404</v>
      </c>
      <c r="H230" s="2" t="s">
        <v>35</v>
      </c>
      <c r="I230" s="3" t="s">
        <v>36</v>
      </c>
      <c r="J230" s="3" t="s">
        <v>37</v>
      </c>
      <c r="K230" s="2" t="s">
        <v>72</v>
      </c>
      <c r="L230" s="2"/>
      <c r="M230" s="2" t="s">
        <v>39</v>
      </c>
      <c r="N230" s="3" t="s">
        <v>926</v>
      </c>
      <c r="O230" s="2" t="s">
        <v>327</v>
      </c>
      <c r="P230" s="2">
        <v>2026</v>
      </c>
      <c r="Q230" s="2">
        <v>4</v>
      </c>
      <c r="R230" s="2" t="s">
        <v>413</v>
      </c>
      <c r="S230" s="2" t="s">
        <v>927</v>
      </c>
      <c r="T230" s="4" t="s">
        <v>44</v>
      </c>
      <c r="U230" s="4" t="s">
        <v>60</v>
      </c>
      <c r="V230" s="4" t="s">
        <v>47</v>
      </c>
      <c r="W230" s="4" t="s">
        <v>46</v>
      </c>
      <c r="X230" s="4" t="s">
        <v>49</v>
      </c>
      <c r="Y230" s="4" t="s">
        <v>49</v>
      </c>
      <c r="Z230" s="4" t="s">
        <v>78</v>
      </c>
      <c r="AA230" s="4" t="s">
        <v>46</v>
      </c>
      <c r="AB230" s="5">
        <v>100</v>
      </c>
    </row>
    <row r="231" spans="1:29" ht="28.35" customHeight="1">
      <c r="A231" s="2" t="s">
        <v>28</v>
      </c>
      <c r="B231" s="2" t="s">
        <v>29</v>
      </c>
      <c r="C231" s="3" t="s">
        <v>190</v>
      </c>
      <c r="D231" s="3" t="s">
        <v>358</v>
      </c>
      <c r="E231" s="2" t="s">
        <v>928</v>
      </c>
      <c r="F231" s="2" t="s">
        <v>929</v>
      </c>
      <c r="G231" s="2" t="s">
        <v>404</v>
      </c>
      <c r="H231" s="2" t="s">
        <v>35</v>
      </c>
      <c r="I231" s="3" t="s">
        <v>36</v>
      </c>
      <c r="J231" s="3" t="s">
        <v>37</v>
      </c>
      <c r="K231" s="2" t="s">
        <v>38</v>
      </c>
      <c r="L231" s="2"/>
      <c r="M231" s="2" t="s">
        <v>39</v>
      </c>
      <c r="N231" s="3" t="s">
        <v>930</v>
      </c>
      <c r="O231" s="2" t="s">
        <v>96</v>
      </c>
      <c r="P231" s="2">
        <v>2026</v>
      </c>
      <c r="Q231" s="2">
        <v>4</v>
      </c>
      <c r="R231" s="2" t="s">
        <v>412</v>
      </c>
      <c r="S231" s="2" t="s">
        <v>609</v>
      </c>
      <c r="T231" s="4" t="s">
        <v>44</v>
      </c>
      <c r="U231" s="4" t="s">
        <v>46</v>
      </c>
      <c r="V231" s="4" t="s">
        <v>46</v>
      </c>
      <c r="W231" s="4" t="s">
        <v>49</v>
      </c>
      <c r="X231" s="4" t="s">
        <v>49</v>
      </c>
      <c r="Y231" s="4" t="s">
        <v>49</v>
      </c>
      <c r="Z231" s="4" t="s">
        <v>98</v>
      </c>
      <c r="AA231" s="4" t="s">
        <v>46</v>
      </c>
      <c r="AB231" s="5">
        <v>300</v>
      </c>
    </row>
    <row r="232" spans="1:29" ht="28.35" customHeight="1">
      <c r="A232" s="2" t="s">
        <v>28</v>
      </c>
      <c r="B232" s="2" t="s">
        <v>29</v>
      </c>
      <c r="C232" s="3" t="s">
        <v>30</v>
      </c>
      <c r="D232" s="3" t="s">
        <v>331</v>
      </c>
      <c r="E232" s="2" t="s">
        <v>931</v>
      </c>
      <c r="F232" s="2" t="s">
        <v>932</v>
      </c>
      <c r="G232" s="2" t="s">
        <v>404</v>
      </c>
      <c r="H232" s="2"/>
      <c r="I232" s="3" t="s">
        <v>114</v>
      </c>
      <c r="J232" s="3" t="s">
        <v>115</v>
      </c>
      <c r="K232" s="2" t="s">
        <v>72</v>
      </c>
      <c r="L232" s="2" t="s">
        <v>933</v>
      </c>
      <c r="M232" s="2" t="s">
        <v>39</v>
      </c>
      <c r="N232" s="3" t="s">
        <v>335</v>
      </c>
      <c r="O232" s="2" t="s">
        <v>336</v>
      </c>
      <c r="P232" s="2">
        <v>2026</v>
      </c>
      <c r="Q232" s="2">
        <v>3</v>
      </c>
      <c r="R232" s="2" t="s">
        <v>419</v>
      </c>
      <c r="S232" s="2"/>
      <c r="T232" s="4" t="s">
        <v>120</v>
      </c>
      <c r="U232" s="4" t="s">
        <v>46</v>
      </c>
      <c r="V232" s="4" t="s">
        <v>49</v>
      </c>
      <c r="W232" s="4" t="s">
        <v>46</v>
      </c>
      <c r="X232" s="4" t="s">
        <v>49</v>
      </c>
      <c r="Y232" s="4" t="s">
        <v>49</v>
      </c>
      <c r="Z232" s="4" t="s">
        <v>98</v>
      </c>
      <c r="AA232" s="4" t="s">
        <v>46</v>
      </c>
      <c r="AB232" s="5">
        <v>10</v>
      </c>
    </row>
    <row r="233" spans="1:29" ht="28.35" customHeight="1">
      <c r="A233" s="2" t="s">
        <v>28</v>
      </c>
      <c r="B233" s="2" t="s">
        <v>29</v>
      </c>
      <c r="C233" s="3" t="s">
        <v>30</v>
      </c>
      <c r="D233" s="3" t="s">
        <v>331</v>
      </c>
      <c r="E233" s="2" t="s">
        <v>931</v>
      </c>
      <c r="F233" s="2" t="s">
        <v>932</v>
      </c>
      <c r="G233" s="2" t="s">
        <v>404</v>
      </c>
      <c r="H233" s="2" t="s">
        <v>35</v>
      </c>
      <c r="I233" s="3" t="s">
        <v>36</v>
      </c>
      <c r="J233" s="3" t="s">
        <v>37</v>
      </c>
      <c r="K233" s="2" t="s">
        <v>72</v>
      </c>
      <c r="L233" s="2"/>
      <c r="M233" s="2" t="s">
        <v>39</v>
      </c>
      <c r="N233" s="3" t="s">
        <v>934</v>
      </c>
      <c r="O233" s="2" t="s">
        <v>124</v>
      </c>
      <c r="P233" s="2">
        <v>2026</v>
      </c>
      <c r="Q233" s="2">
        <v>7</v>
      </c>
      <c r="R233" s="2" t="s">
        <v>608</v>
      </c>
      <c r="S233" s="2" t="s">
        <v>935</v>
      </c>
      <c r="T233" s="4" t="s">
        <v>44</v>
      </c>
      <c r="U233" s="4" t="s">
        <v>524</v>
      </c>
      <c r="V233" s="4" t="s">
        <v>109</v>
      </c>
      <c r="W233" s="4" t="s">
        <v>88</v>
      </c>
      <c r="X233" s="4" t="s">
        <v>49</v>
      </c>
      <c r="Y233" s="4" t="s">
        <v>49</v>
      </c>
      <c r="Z233" s="4" t="s">
        <v>122</v>
      </c>
      <c r="AA233" s="4" t="s">
        <v>46</v>
      </c>
      <c r="AB233" s="5">
        <v>30</v>
      </c>
    </row>
    <row r="234" spans="1:29" ht="28.35" customHeight="1">
      <c r="A234" s="2" t="s">
        <v>28</v>
      </c>
      <c r="B234" s="2" t="s">
        <v>29</v>
      </c>
      <c r="C234" s="3" t="s">
        <v>30</v>
      </c>
      <c r="D234" s="3" t="s">
        <v>331</v>
      </c>
      <c r="E234" s="2" t="s">
        <v>931</v>
      </c>
      <c r="F234" s="2" t="s">
        <v>932</v>
      </c>
      <c r="G234" s="2" t="s">
        <v>404</v>
      </c>
      <c r="H234" s="2" t="s">
        <v>35</v>
      </c>
      <c r="I234" s="3" t="s">
        <v>36</v>
      </c>
      <c r="J234" s="3" t="s">
        <v>37</v>
      </c>
      <c r="K234" s="2" t="s">
        <v>72</v>
      </c>
      <c r="L234" s="2"/>
      <c r="M234" s="2" t="s">
        <v>39</v>
      </c>
      <c r="N234" s="3" t="s">
        <v>936</v>
      </c>
      <c r="O234" s="2" t="s">
        <v>234</v>
      </c>
      <c r="P234" s="2">
        <v>2026</v>
      </c>
      <c r="Q234" s="2">
        <v>7</v>
      </c>
      <c r="R234" s="2" t="s">
        <v>608</v>
      </c>
      <c r="S234" s="2" t="s">
        <v>937</v>
      </c>
      <c r="T234" s="4" t="s">
        <v>44</v>
      </c>
      <c r="U234" s="4" t="s">
        <v>48</v>
      </c>
      <c r="V234" s="4" t="s">
        <v>109</v>
      </c>
      <c r="W234" s="4" t="s">
        <v>77</v>
      </c>
      <c r="X234" s="4" t="s">
        <v>49</v>
      </c>
      <c r="Y234" s="4" t="s">
        <v>49</v>
      </c>
      <c r="Z234" s="4" t="s">
        <v>122</v>
      </c>
      <c r="AA234" s="4" t="s">
        <v>46</v>
      </c>
      <c r="AB234" s="5">
        <v>33</v>
      </c>
    </row>
    <row r="235" spans="1:29" ht="28.35" customHeight="1">
      <c r="A235" s="2" t="s">
        <v>28</v>
      </c>
      <c r="B235" s="2" t="s">
        <v>29</v>
      </c>
      <c r="C235" s="3" t="s">
        <v>30</v>
      </c>
      <c r="D235" s="3" t="s">
        <v>331</v>
      </c>
      <c r="E235" s="2" t="s">
        <v>931</v>
      </c>
      <c r="F235" s="2" t="s">
        <v>932</v>
      </c>
      <c r="G235" s="2" t="s">
        <v>404</v>
      </c>
      <c r="H235" s="2" t="s">
        <v>35</v>
      </c>
      <c r="I235" s="3" t="s">
        <v>36</v>
      </c>
      <c r="J235" s="3" t="s">
        <v>82</v>
      </c>
      <c r="K235" s="2" t="s">
        <v>38</v>
      </c>
      <c r="L235" s="2"/>
      <c r="M235" s="2" t="s">
        <v>39</v>
      </c>
      <c r="N235" s="3" t="s">
        <v>938</v>
      </c>
      <c r="O235" s="2" t="s">
        <v>96</v>
      </c>
      <c r="P235" s="2">
        <v>2026</v>
      </c>
      <c r="Q235" s="2">
        <v>4</v>
      </c>
      <c r="R235" s="2" t="s">
        <v>293</v>
      </c>
      <c r="S235" s="2" t="s">
        <v>939</v>
      </c>
      <c r="T235" s="4" t="s">
        <v>87</v>
      </c>
      <c r="U235" s="4" t="s">
        <v>47</v>
      </c>
      <c r="V235" s="4" t="s">
        <v>47</v>
      </c>
      <c r="W235" s="4" t="s">
        <v>49</v>
      </c>
      <c r="X235" s="4" t="s">
        <v>49</v>
      </c>
      <c r="Y235" s="4" t="s">
        <v>49</v>
      </c>
      <c r="Z235" s="4" t="s">
        <v>50</v>
      </c>
      <c r="AA235" s="4" t="s">
        <v>46</v>
      </c>
      <c r="AB235" s="5">
        <v>105</v>
      </c>
    </row>
    <row r="236" spans="1:29" ht="28.35" customHeight="1">
      <c r="A236" s="2" t="s">
        <v>28</v>
      </c>
      <c r="B236" s="2" t="s">
        <v>29</v>
      </c>
      <c r="C236" s="3" t="s">
        <v>162</v>
      </c>
      <c r="D236" s="3" t="s">
        <v>808</v>
      </c>
      <c r="E236" s="2" t="s">
        <v>940</v>
      </c>
      <c r="F236" s="2" t="s">
        <v>941</v>
      </c>
      <c r="G236" s="2" t="s">
        <v>811</v>
      </c>
      <c r="H236" s="2" t="s">
        <v>35</v>
      </c>
      <c r="I236" s="3" t="s">
        <v>36</v>
      </c>
      <c r="J236" s="3" t="s">
        <v>82</v>
      </c>
      <c r="K236" s="2" t="s">
        <v>38</v>
      </c>
      <c r="L236" s="2"/>
      <c r="M236" s="2" t="s">
        <v>39</v>
      </c>
      <c r="N236" s="3" t="s">
        <v>942</v>
      </c>
      <c r="O236" s="2" t="s">
        <v>943</v>
      </c>
      <c r="P236" s="2">
        <v>2026</v>
      </c>
      <c r="Q236" s="2">
        <v>3</v>
      </c>
      <c r="R236" s="2" t="s">
        <v>57</v>
      </c>
      <c r="S236" s="2" t="s">
        <v>944</v>
      </c>
      <c r="T236" s="4" t="s">
        <v>87</v>
      </c>
      <c r="U236" s="4" t="s">
        <v>46</v>
      </c>
      <c r="V236" s="4" t="s">
        <v>46</v>
      </c>
      <c r="W236" s="4" t="s">
        <v>49</v>
      </c>
      <c r="X236" s="4" t="s">
        <v>49</v>
      </c>
      <c r="Y236" s="4" t="s">
        <v>49</v>
      </c>
      <c r="Z236" s="4" t="s">
        <v>98</v>
      </c>
      <c r="AA236" s="4" t="s">
        <v>46</v>
      </c>
      <c r="AB236" s="5">
        <v>150</v>
      </c>
    </row>
    <row r="237" spans="1:29" ht="28.35" customHeight="1">
      <c r="A237" s="2" t="s">
        <v>28</v>
      </c>
      <c r="B237" s="2" t="s">
        <v>29</v>
      </c>
      <c r="C237" s="3" t="s">
        <v>162</v>
      </c>
      <c r="D237" s="3" t="s">
        <v>808</v>
      </c>
      <c r="E237" s="2" t="s">
        <v>940</v>
      </c>
      <c r="F237" s="2" t="s">
        <v>941</v>
      </c>
      <c r="G237" s="2" t="s">
        <v>811</v>
      </c>
      <c r="H237" s="2"/>
      <c r="I237" s="3" t="s">
        <v>166</v>
      </c>
      <c r="J237" s="3"/>
      <c r="K237" s="2"/>
      <c r="L237" s="2" t="s">
        <v>167</v>
      </c>
      <c r="M237" s="2" t="s">
        <v>39</v>
      </c>
      <c r="N237" s="3" t="s">
        <v>945</v>
      </c>
      <c r="O237" s="2" t="s">
        <v>41</v>
      </c>
      <c r="P237" s="2">
        <v>2026</v>
      </c>
      <c r="Q237" s="2">
        <v>3</v>
      </c>
      <c r="R237" s="2" t="s">
        <v>119</v>
      </c>
      <c r="S237" s="2"/>
      <c r="T237" s="4" t="s">
        <v>814</v>
      </c>
      <c r="U237" s="4" t="s">
        <v>46</v>
      </c>
      <c r="V237" s="4" t="s">
        <v>46</v>
      </c>
      <c r="W237" s="4" t="s">
        <v>49</v>
      </c>
      <c r="X237" s="4" t="s">
        <v>49</v>
      </c>
      <c r="Y237" s="4" t="s">
        <v>49</v>
      </c>
      <c r="Z237" s="4" t="s">
        <v>98</v>
      </c>
      <c r="AA237" s="4" t="s">
        <v>46</v>
      </c>
      <c r="AB237" s="5">
        <v>80</v>
      </c>
    </row>
    <row r="238" spans="1:29" ht="28.35" customHeight="1">
      <c r="A238" s="2" t="s">
        <v>28</v>
      </c>
      <c r="B238" s="2" t="s">
        <v>29</v>
      </c>
      <c r="C238" s="3" t="s">
        <v>162</v>
      </c>
      <c r="D238" s="3" t="s">
        <v>808</v>
      </c>
      <c r="E238" s="2" t="s">
        <v>940</v>
      </c>
      <c r="F238" s="2" t="s">
        <v>941</v>
      </c>
      <c r="G238" s="2" t="s">
        <v>811</v>
      </c>
      <c r="H238" s="2"/>
      <c r="I238" s="3" t="s">
        <v>166</v>
      </c>
      <c r="J238" s="3"/>
      <c r="K238" s="2"/>
      <c r="L238" s="2" t="s">
        <v>167</v>
      </c>
      <c r="M238" s="2" t="s">
        <v>39</v>
      </c>
      <c r="N238" s="3" t="s">
        <v>946</v>
      </c>
      <c r="O238" s="2" t="s">
        <v>543</v>
      </c>
      <c r="P238" s="2">
        <v>2026</v>
      </c>
      <c r="Q238" s="2">
        <v>5</v>
      </c>
      <c r="R238" s="2" t="s">
        <v>119</v>
      </c>
      <c r="S238" s="2"/>
      <c r="T238" s="4" t="s">
        <v>814</v>
      </c>
      <c r="U238" s="4" t="s">
        <v>46</v>
      </c>
      <c r="V238" s="4" t="s">
        <v>46</v>
      </c>
      <c r="W238" s="4" t="s">
        <v>49</v>
      </c>
      <c r="X238" s="4" t="s">
        <v>49</v>
      </c>
      <c r="Y238" s="4" t="s">
        <v>49</v>
      </c>
      <c r="Z238" s="4" t="s">
        <v>98</v>
      </c>
      <c r="AA238" s="4" t="s">
        <v>46</v>
      </c>
      <c r="AB238" s="5">
        <v>80</v>
      </c>
    </row>
    <row r="239" spans="1:29" ht="28.35" customHeight="1">
      <c r="A239" s="2" t="s">
        <v>28</v>
      </c>
      <c r="B239" s="2" t="s">
        <v>29</v>
      </c>
      <c r="C239" s="3" t="s">
        <v>162</v>
      </c>
      <c r="D239" s="3" t="s">
        <v>808</v>
      </c>
      <c r="E239" s="2" t="s">
        <v>940</v>
      </c>
      <c r="F239" s="2" t="s">
        <v>941</v>
      </c>
      <c r="G239" s="2" t="s">
        <v>811</v>
      </c>
      <c r="H239" s="2"/>
      <c r="I239" s="3" t="s">
        <v>166</v>
      </c>
      <c r="J239" s="3"/>
      <c r="K239" s="2"/>
      <c r="L239" s="2" t="s">
        <v>167</v>
      </c>
      <c r="M239" s="2" t="s">
        <v>39</v>
      </c>
      <c r="N239" s="3" t="s">
        <v>947</v>
      </c>
      <c r="O239" s="2" t="s">
        <v>264</v>
      </c>
      <c r="P239" s="2">
        <v>2026</v>
      </c>
      <c r="Q239" s="2">
        <v>4</v>
      </c>
      <c r="R239" s="2" t="s">
        <v>119</v>
      </c>
      <c r="S239" s="2"/>
      <c r="T239" s="4" t="s">
        <v>814</v>
      </c>
      <c r="U239" s="4" t="s">
        <v>46</v>
      </c>
      <c r="V239" s="4" t="s">
        <v>46</v>
      </c>
      <c r="W239" s="4" t="s">
        <v>49</v>
      </c>
      <c r="X239" s="4" t="s">
        <v>49</v>
      </c>
      <c r="Y239" s="4" t="s">
        <v>49</v>
      </c>
      <c r="Z239" s="4" t="s">
        <v>98</v>
      </c>
      <c r="AA239" s="4" t="s">
        <v>46</v>
      </c>
      <c r="AB239" s="5">
        <v>80</v>
      </c>
    </row>
    <row r="240" spans="1:29" ht="28.35" customHeight="1">
      <c r="A240" s="2" t="s">
        <v>28</v>
      </c>
      <c r="B240" s="2" t="s">
        <v>29</v>
      </c>
      <c r="C240" s="3" t="s">
        <v>206</v>
      </c>
      <c r="D240" s="3" t="s">
        <v>948</v>
      </c>
      <c r="E240" s="2" t="s">
        <v>949</v>
      </c>
      <c r="F240" s="2" t="s">
        <v>950</v>
      </c>
      <c r="G240" s="2" t="s">
        <v>599</v>
      </c>
      <c r="H240" s="2"/>
      <c r="I240" s="3" t="s">
        <v>114</v>
      </c>
      <c r="J240" s="3" t="s">
        <v>951</v>
      </c>
      <c r="K240" s="2" t="s">
        <v>38</v>
      </c>
      <c r="L240" s="2"/>
      <c r="M240" s="6"/>
      <c r="N240" s="3" t="s">
        <v>952</v>
      </c>
      <c r="O240" s="2" t="s">
        <v>953</v>
      </c>
      <c r="P240" s="2">
        <f t="shared" ref="P240" si="0">IF(ISBLANK(O240),"",YEAR(O240))</f>
        <v>2026</v>
      </c>
      <c r="Q240" s="2">
        <f t="shared" ref="Q240" si="1">IF(ISBLANK(O240),"",MONTH(O240))</f>
        <v>3</v>
      </c>
      <c r="R240" s="2" t="s">
        <v>419</v>
      </c>
      <c r="S240" s="2"/>
      <c r="T240" s="4" t="s">
        <v>120</v>
      </c>
      <c r="U240" s="4" t="s">
        <v>46</v>
      </c>
      <c r="V240" s="4" t="s">
        <v>46</v>
      </c>
      <c r="W240" s="4" t="s">
        <v>49</v>
      </c>
      <c r="X240" s="4" t="s">
        <v>49</v>
      </c>
      <c r="Y240" s="4" t="s">
        <v>49</v>
      </c>
      <c r="Z240" s="4" t="s">
        <v>98</v>
      </c>
      <c r="AA240" s="4" t="s">
        <v>46</v>
      </c>
      <c r="AB240" s="5">
        <v>100</v>
      </c>
      <c r="AC240" s="7" t="s">
        <v>954</v>
      </c>
    </row>
    <row r="241" spans="1:29" ht="28.35" customHeight="1">
      <c r="A241" s="2" t="s">
        <v>28</v>
      </c>
      <c r="B241" s="2" t="s">
        <v>29</v>
      </c>
      <c r="C241" s="3" t="s">
        <v>206</v>
      </c>
      <c r="D241" s="3" t="s">
        <v>643</v>
      </c>
      <c r="E241" s="2" t="s">
        <v>644</v>
      </c>
      <c r="F241" s="2" t="s">
        <v>645</v>
      </c>
      <c r="G241" s="2" t="s">
        <v>599</v>
      </c>
      <c r="H241" s="2"/>
      <c r="I241" s="3" t="s">
        <v>114</v>
      </c>
      <c r="J241" s="3" t="s">
        <v>955</v>
      </c>
      <c r="K241" s="2" t="s">
        <v>38</v>
      </c>
      <c r="L241" s="2" t="s">
        <v>167</v>
      </c>
      <c r="M241" s="6"/>
      <c r="N241" s="3" t="s">
        <v>956</v>
      </c>
      <c r="O241" s="2" t="s">
        <v>118</v>
      </c>
      <c r="P241" s="2">
        <v>2026</v>
      </c>
      <c r="Q241" s="2">
        <v>4</v>
      </c>
      <c r="R241" s="2" t="s">
        <v>119</v>
      </c>
      <c r="S241" s="2"/>
      <c r="T241" s="4" t="s">
        <v>120</v>
      </c>
      <c r="U241" s="4" t="s">
        <v>46</v>
      </c>
      <c r="V241" s="4" t="s">
        <v>46</v>
      </c>
      <c r="W241" s="4" t="s">
        <v>49</v>
      </c>
      <c r="X241" s="4" t="s">
        <v>49</v>
      </c>
      <c r="Y241" s="4" t="s">
        <v>49</v>
      </c>
      <c r="Z241" s="4" t="s">
        <v>98</v>
      </c>
      <c r="AA241" s="4" t="s">
        <v>46</v>
      </c>
      <c r="AB241" s="5">
        <v>100</v>
      </c>
      <c r="AC241" s="7" t="s">
        <v>954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C2622-F2C4-402B-90B9-7E376B4FD75D}">
  <dimension ref="A1:E13"/>
  <sheetViews>
    <sheetView workbookViewId="0">
      <selection activeCell="J25" sqref="J25"/>
    </sheetView>
  </sheetViews>
  <sheetFormatPr defaultRowHeight="16.5"/>
  <sheetData>
    <row r="1" spans="1:5">
      <c r="A1" t="s">
        <v>16</v>
      </c>
      <c r="B1" t="s">
        <v>957</v>
      </c>
      <c r="C1" t="s">
        <v>966</v>
      </c>
      <c r="D1" t="s">
        <v>967</v>
      </c>
      <c r="E1" t="s">
        <v>968</v>
      </c>
    </row>
    <row r="2" spans="1:5">
      <c r="A2" t="s">
        <v>958</v>
      </c>
      <c r="B2" s="12" t="s">
        <v>964</v>
      </c>
      <c r="C2" s="10">
        <v>121</v>
      </c>
      <c r="D2" s="10">
        <v>20</v>
      </c>
      <c r="E2" s="14">
        <v>105.5</v>
      </c>
    </row>
    <row r="3" spans="1:5" ht="17.25" thickBot="1">
      <c r="A3" t="s">
        <v>958</v>
      </c>
      <c r="B3" s="9" t="s">
        <v>965</v>
      </c>
      <c r="C3" s="11">
        <v>7</v>
      </c>
      <c r="D3" s="11">
        <v>7</v>
      </c>
      <c r="E3" s="15">
        <v>3.4</v>
      </c>
    </row>
    <row r="4" spans="1:5" ht="17.25" thickTop="1">
      <c r="A4" t="s">
        <v>959</v>
      </c>
      <c r="B4" s="13" t="s">
        <v>964</v>
      </c>
      <c r="C4" s="18">
        <v>37</v>
      </c>
      <c r="D4" s="18">
        <v>13</v>
      </c>
      <c r="E4" s="16">
        <v>77.099999999999994</v>
      </c>
    </row>
    <row r="5" spans="1:5" ht="17.25" thickBot="1">
      <c r="A5" t="s">
        <v>959</v>
      </c>
      <c r="B5" s="8" t="s">
        <v>965</v>
      </c>
      <c r="C5" s="19">
        <v>23</v>
      </c>
      <c r="D5" s="19">
        <v>23</v>
      </c>
      <c r="E5" s="17">
        <v>16.399999999999999</v>
      </c>
    </row>
    <row r="6" spans="1:5" ht="17.25" thickTop="1">
      <c r="A6" t="s">
        <v>960</v>
      </c>
      <c r="B6" s="22" t="s">
        <v>964</v>
      </c>
      <c r="C6" s="20">
        <v>76</v>
      </c>
      <c r="D6" s="20">
        <v>18</v>
      </c>
      <c r="E6" s="23">
        <v>29.3</v>
      </c>
    </row>
    <row r="7" spans="1:5" ht="17.25" thickBot="1">
      <c r="A7" t="s">
        <v>960</v>
      </c>
      <c r="B7" s="24" t="s">
        <v>965</v>
      </c>
      <c r="C7" s="21">
        <v>11</v>
      </c>
      <c r="D7" s="21">
        <v>11</v>
      </c>
      <c r="E7" s="25">
        <v>4.7</v>
      </c>
    </row>
    <row r="8" spans="1:5" ht="17.25" thickTop="1">
      <c r="A8" t="s">
        <v>961</v>
      </c>
      <c r="B8" s="30" t="s">
        <v>964</v>
      </c>
      <c r="C8" s="31">
        <v>16</v>
      </c>
      <c r="D8" s="31">
        <v>4</v>
      </c>
      <c r="E8" s="32">
        <v>51.7</v>
      </c>
    </row>
    <row r="9" spans="1:5" ht="17.25" thickBot="1">
      <c r="A9" t="s">
        <v>961</v>
      </c>
      <c r="B9" s="33" t="s">
        <v>965</v>
      </c>
      <c r="C9" s="34">
        <v>12</v>
      </c>
      <c r="D9" s="34">
        <v>12</v>
      </c>
      <c r="E9" s="35">
        <v>11.4</v>
      </c>
    </row>
    <row r="10" spans="1:5" ht="17.25" thickTop="1">
      <c r="A10" t="s">
        <v>962</v>
      </c>
      <c r="B10" s="30" t="s">
        <v>964</v>
      </c>
      <c r="C10" s="31">
        <v>12</v>
      </c>
      <c r="D10" s="31">
        <v>3</v>
      </c>
      <c r="E10" s="32">
        <v>10.5</v>
      </c>
    </row>
    <row r="11" spans="1:5" ht="17.25" thickBot="1">
      <c r="A11" t="s">
        <v>962</v>
      </c>
      <c r="B11" s="33" t="s">
        <v>965</v>
      </c>
      <c r="C11" s="34">
        <v>15</v>
      </c>
      <c r="D11" s="34">
        <v>15</v>
      </c>
      <c r="E11" s="35">
        <v>7.9</v>
      </c>
    </row>
    <row r="12" spans="1:5" ht="17.25" thickTop="1">
      <c r="A12" t="s">
        <v>963</v>
      </c>
      <c r="B12" s="26" t="s">
        <v>964</v>
      </c>
      <c r="C12" s="27">
        <v>100</v>
      </c>
      <c r="D12" s="27">
        <v>22</v>
      </c>
      <c r="E12" s="28">
        <v>52.7</v>
      </c>
    </row>
    <row r="13" spans="1:5" ht="17.25" thickBot="1">
      <c r="A13" t="s">
        <v>963</v>
      </c>
      <c r="B13" s="29" t="s">
        <v>965</v>
      </c>
      <c r="C13" s="36">
        <v>10</v>
      </c>
      <c r="D13" s="36">
        <v>10</v>
      </c>
      <c r="E13" s="37">
        <v>5.2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790DA-C6AC-4E0A-97F5-AFF3509C31BA}">
  <sheetPr>
    <pageSetUpPr fitToPage="1"/>
  </sheetPr>
  <dimension ref="A1:O5"/>
  <sheetViews>
    <sheetView showGridLines="0" tabSelected="1" zoomScaleNormal="100" workbookViewId="0">
      <selection activeCell="A6" sqref="A6:XFD6"/>
    </sheetView>
  </sheetViews>
  <sheetFormatPr defaultColWidth="7.625" defaultRowHeight="16.5"/>
  <cols>
    <col min="1" max="1" width="7" style="42" customWidth="1"/>
    <col min="2" max="2" width="17.5" style="42" customWidth="1"/>
    <col min="3" max="14" width="6.125" style="42" customWidth="1"/>
    <col min="15" max="16384" width="7.625" style="42"/>
  </cols>
  <sheetData>
    <row r="1" spans="1:15" ht="30" customHeight="1">
      <c r="A1" s="38" t="s">
        <v>969</v>
      </c>
      <c r="B1" s="39" t="s">
        <v>970</v>
      </c>
      <c r="C1" s="39" t="s">
        <v>971</v>
      </c>
      <c r="D1" s="39" t="s">
        <v>972</v>
      </c>
      <c r="E1" s="39" t="s">
        <v>973</v>
      </c>
      <c r="F1" s="39" t="s">
        <v>974</v>
      </c>
      <c r="G1" s="39" t="s">
        <v>975</v>
      </c>
      <c r="H1" s="39" t="s">
        <v>976</v>
      </c>
      <c r="I1" s="39" t="s">
        <v>977</v>
      </c>
      <c r="J1" s="39" t="s">
        <v>978</v>
      </c>
      <c r="K1" s="39" t="s">
        <v>979</v>
      </c>
      <c r="L1" s="39" t="s">
        <v>980</v>
      </c>
      <c r="M1" s="39" t="s">
        <v>981</v>
      </c>
      <c r="N1" s="40" t="s">
        <v>982</v>
      </c>
      <c r="O1" s="41"/>
    </row>
    <row r="2" spans="1:15" ht="15" customHeight="1">
      <c r="A2" s="43" t="s">
        <v>36</v>
      </c>
      <c r="B2" s="44">
        <v>56</v>
      </c>
      <c r="C2" s="44">
        <v>38</v>
      </c>
      <c r="D2" s="44">
        <v>44</v>
      </c>
      <c r="E2" s="44">
        <v>74</v>
      </c>
      <c r="F2" s="44">
        <v>23</v>
      </c>
      <c r="G2" s="44">
        <v>58</v>
      </c>
      <c r="H2" s="44">
        <v>65</v>
      </c>
      <c r="I2" s="44">
        <v>44</v>
      </c>
      <c r="J2" s="44">
        <v>52</v>
      </c>
      <c r="K2" s="44">
        <v>80</v>
      </c>
      <c r="L2" s="44">
        <v>35</v>
      </c>
      <c r="M2" s="44">
        <v>60</v>
      </c>
      <c r="N2" s="45">
        <f>SUM(B2:M2)</f>
        <v>629</v>
      </c>
      <c r="O2" s="46"/>
    </row>
    <row r="3" spans="1:15" ht="17.25" customHeight="1">
      <c r="A3" s="43" t="s">
        <v>114</v>
      </c>
      <c r="B3" s="44">
        <v>7</v>
      </c>
      <c r="C3" s="44">
        <v>3</v>
      </c>
      <c r="D3" s="44">
        <v>6</v>
      </c>
      <c r="E3" s="44">
        <v>5</v>
      </c>
      <c r="F3" s="44">
        <v>0</v>
      </c>
      <c r="G3" s="44">
        <v>6</v>
      </c>
      <c r="H3" s="44">
        <v>7</v>
      </c>
      <c r="I3" s="44">
        <v>5</v>
      </c>
      <c r="J3" s="44">
        <v>7</v>
      </c>
      <c r="K3" s="44">
        <v>6</v>
      </c>
      <c r="L3" s="44">
        <v>5</v>
      </c>
      <c r="M3" s="44">
        <v>12</v>
      </c>
      <c r="N3" s="45">
        <f>SUM(B3:M3)</f>
        <v>69</v>
      </c>
    </row>
    <row r="4" spans="1:15" ht="21.75" customHeight="1">
      <c r="A4" s="43" t="s">
        <v>983</v>
      </c>
      <c r="B4" s="44">
        <v>2</v>
      </c>
      <c r="C4" s="44">
        <v>2</v>
      </c>
      <c r="D4" s="44">
        <v>2</v>
      </c>
      <c r="E4" s="44">
        <v>2</v>
      </c>
      <c r="F4" s="44">
        <v>3</v>
      </c>
      <c r="G4" s="44">
        <v>2</v>
      </c>
      <c r="H4" s="44">
        <v>5</v>
      </c>
      <c r="I4" s="44">
        <v>4</v>
      </c>
      <c r="J4" s="44">
        <v>7</v>
      </c>
      <c r="K4" s="44">
        <v>5</v>
      </c>
      <c r="L4" s="44">
        <v>3</v>
      </c>
      <c r="M4" s="44">
        <v>1</v>
      </c>
      <c r="N4" s="45">
        <f>SUM(B4:M4)</f>
        <v>38</v>
      </c>
    </row>
    <row r="5" spans="1:15" ht="19.5" customHeight="1">
      <c r="A5" s="43" t="s">
        <v>984</v>
      </c>
      <c r="B5" s="44">
        <v>0</v>
      </c>
      <c r="C5" s="44">
        <v>0</v>
      </c>
      <c r="D5" s="44">
        <v>7</v>
      </c>
      <c r="E5" s="44">
        <v>4</v>
      </c>
      <c r="F5" s="44">
        <v>6</v>
      </c>
      <c r="G5" s="44">
        <v>5</v>
      </c>
      <c r="H5" s="44">
        <v>2</v>
      </c>
      <c r="I5" s="44">
        <v>0</v>
      </c>
      <c r="J5" s="44">
        <v>6</v>
      </c>
      <c r="K5" s="44">
        <v>8</v>
      </c>
      <c r="L5" s="44">
        <v>0</v>
      </c>
      <c r="M5" s="44">
        <v>0</v>
      </c>
      <c r="N5" s="45">
        <f>SUM(B5:M5)</f>
        <v>38</v>
      </c>
    </row>
  </sheetData>
  <phoneticPr fontId="3" type="noConversion"/>
  <pageMargins left="0.75" right="0.40972222222222199" top="1" bottom="1" header="0.511811023622047" footer="0.511811023622047"/>
  <pageSetup paperSize="9" fitToHeight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D17E9-D0B9-416B-BA57-F5AA470A58BD}">
  <dimension ref="A1:N5"/>
  <sheetViews>
    <sheetView workbookViewId="0">
      <selection activeCell="A6" sqref="A6:XFD6"/>
    </sheetView>
  </sheetViews>
  <sheetFormatPr defaultRowHeight="15"/>
  <cols>
    <col min="1" max="16384" width="9" style="47"/>
  </cols>
  <sheetData>
    <row r="1" spans="1:14">
      <c r="A1" s="38" t="s">
        <v>969</v>
      </c>
      <c r="B1" s="39" t="s">
        <v>970</v>
      </c>
      <c r="C1" s="39" t="s">
        <v>971</v>
      </c>
      <c r="D1" s="39" t="s">
        <v>972</v>
      </c>
      <c r="E1" s="39" t="s">
        <v>973</v>
      </c>
      <c r="F1" s="39" t="s">
        <v>974</v>
      </c>
      <c r="G1" s="39" t="s">
        <v>975</v>
      </c>
      <c r="H1" s="39" t="s">
        <v>976</v>
      </c>
      <c r="I1" s="39" t="s">
        <v>977</v>
      </c>
      <c r="J1" s="39" t="s">
        <v>978</v>
      </c>
      <c r="K1" s="39" t="s">
        <v>979</v>
      </c>
      <c r="L1" s="39" t="s">
        <v>980</v>
      </c>
      <c r="M1" s="39" t="s">
        <v>981</v>
      </c>
      <c r="N1" s="40" t="s">
        <v>982</v>
      </c>
    </row>
    <row r="2" spans="1:14">
      <c r="A2" s="43" t="s">
        <v>36</v>
      </c>
      <c r="B2" s="44">
        <v>62</v>
      </c>
      <c r="C2" s="44">
        <v>42</v>
      </c>
      <c r="D2" s="44">
        <v>52</v>
      </c>
      <c r="E2" s="44">
        <v>64</v>
      </c>
      <c r="F2" s="44">
        <v>26</v>
      </c>
      <c r="G2" s="44">
        <v>56</v>
      </c>
      <c r="H2" s="44">
        <v>59</v>
      </c>
      <c r="I2" s="44">
        <v>39</v>
      </c>
      <c r="J2" s="44">
        <v>70</v>
      </c>
      <c r="K2" s="44">
        <v>78</v>
      </c>
      <c r="L2" s="44">
        <v>48</v>
      </c>
      <c r="M2" s="44">
        <v>66</v>
      </c>
      <c r="N2" s="45">
        <f>SUM(B2:M2)</f>
        <v>662</v>
      </c>
    </row>
    <row r="3" spans="1:14">
      <c r="A3" s="43" t="s">
        <v>114</v>
      </c>
      <c r="B3" s="44">
        <v>12</v>
      </c>
      <c r="C3" s="44">
        <v>3</v>
      </c>
      <c r="D3" s="44">
        <v>7</v>
      </c>
      <c r="E3" s="44">
        <v>8</v>
      </c>
      <c r="F3" s="44">
        <v>2</v>
      </c>
      <c r="G3" s="44">
        <v>9</v>
      </c>
      <c r="H3" s="44">
        <v>6</v>
      </c>
      <c r="I3" s="44">
        <v>3</v>
      </c>
      <c r="J3" s="44">
        <v>2</v>
      </c>
      <c r="K3" s="44">
        <v>7</v>
      </c>
      <c r="L3" s="44">
        <v>5</v>
      </c>
      <c r="M3" s="44">
        <v>8</v>
      </c>
      <c r="N3" s="45">
        <f>SUM(B3:M3)</f>
        <v>72</v>
      </c>
    </row>
    <row r="4" spans="1:14" ht="25.5">
      <c r="A4" s="43" t="s">
        <v>983</v>
      </c>
      <c r="B4" s="44">
        <v>1</v>
      </c>
      <c r="C4" s="44">
        <v>3</v>
      </c>
      <c r="D4" s="44">
        <v>2</v>
      </c>
      <c r="E4" s="44">
        <v>6</v>
      </c>
      <c r="F4" s="44">
        <v>3</v>
      </c>
      <c r="G4" s="44">
        <v>2</v>
      </c>
      <c r="H4" s="44">
        <v>5</v>
      </c>
      <c r="I4" s="44">
        <v>6</v>
      </c>
      <c r="J4" s="44">
        <v>12</v>
      </c>
      <c r="K4" s="44">
        <v>5</v>
      </c>
      <c r="L4" s="44">
        <v>2</v>
      </c>
      <c r="M4" s="44">
        <v>3</v>
      </c>
      <c r="N4" s="45">
        <f>SUM(B4:M4)</f>
        <v>50</v>
      </c>
    </row>
    <row r="5" spans="1:14" ht="25.5">
      <c r="A5" s="43" t="s">
        <v>984</v>
      </c>
      <c r="B5" s="44">
        <v>0</v>
      </c>
      <c r="C5" s="44">
        <v>1</v>
      </c>
      <c r="D5" s="44">
        <v>4</v>
      </c>
      <c r="E5" s="44">
        <v>5</v>
      </c>
      <c r="F5" s="44">
        <v>1</v>
      </c>
      <c r="G5" s="44">
        <v>5</v>
      </c>
      <c r="H5" s="44">
        <v>1</v>
      </c>
      <c r="I5" s="44">
        <v>3</v>
      </c>
      <c r="J5" s="44">
        <v>1</v>
      </c>
      <c r="K5" s="44">
        <v>9</v>
      </c>
      <c r="L5" s="44">
        <v>1</v>
      </c>
      <c r="M5" s="44">
        <v>7</v>
      </c>
      <c r="N5" s="45">
        <f>SUM(B5:M5)</f>
        <v>38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6C9D8-C651-4C1F-BA0C-1E6F254BBD16}">
  <dimension ref="A1:N5"/>
  <sheetViews>
    <sheetView workbookViewId="0">
      <selection activeCell="A6" sqref="A6:XFD6"/>
    </sheetView>
  </sheetViews>
  <sheetFormatPr defaultRowHeight="15"/>
  <cols>
    <col min="1" max="16384" width="9" style="47"/>
  </cols>
  <sheetData>
    <row r="1" spans="1:14">
      <c r="A1" s="38" t="s">
        <v>969</v>
      </c>
      <c r="B1" s="39" t="s">
        <v>970</v>
      </c>
      <c r="C1" s="39" t="s">
        <v>971</v>
      </c>
      <c r="D1" s="39" t="s">
        <v>972</v>
      </c>
      <c r="E1" s="39" t="s">
        <v>973</v>
      </c>
      <c r="F1" s="39" t="s">
        <v>974</v>
      </c>
      <c r="G1" s="39" t="s">
        <v>975</v>
      </c>
      <c r="H1" s="39" t="s">
        <v>976</v>
      </c>
      <c r="I1" s="39" t="s">
        <v>977</v>
      </c>
      <c r="J1" s="39" t="s">
        <v>978</v>
      </c>
      <c r="K1" s="39" t="s">
        <v>979</v>
      </c>
      <c r="L1" s="39" t="s">
        <v>980</v>
      </c>
      <c r="M1" s="39" t="s">
        <v>981</v>
      </c>
      <c r="N1" s="40" t="s">
        <v>982</v>
      </c>
    </row>
    <row r="2" spans="1:14">
      <c r="A2" s="43" t="s">
        <v>36</v>
      </c>
      <c r="B2" s="44">
        <v>55</v>
      </c>
      <c r="C2" s="44">
        <v>59</v>
      </c>
      <c r="D2" s="44">
        <v>63</v>
      </c>
      <c r="E2" s="44">
        <v>75</v>
      </c>
      <c r="F2" s="44">
        <v>44</v>
      </c>
      <c r="G2" s="44">
        <v>74</v>
      </c>
      <c r="H2" s="44">
        <v>65</v>
      </c>
      <c r="I2" s="44">
        <v>54</v>
      </c>
      <c r="J2" s="44">
        <v>46</v>
      </c>
      <c r="K2" s="44">
        <v>105</v>
      </c>
      <c r="L2" s="44">
        <v>38</v>
      </c>
      <c r="M2" s="44">
        <v>60</v>
      </c>
      <c r="N2" s="45">
        <f>SUM(B2:M2)</f>
        <v>738</v>
      </c>
    </row>
    <row r="3" spans="1:14">
      <c r="A3" s="43" t="s">
        <v>114</v>
      </c>
      <c r="B3" s="44">
        <v>7</v>
      </c>
      <c r="C3" s="44">
        <v>1</v>
      </c>
      <c r="D3" s="44">
        <v>4</v>
      </c>
      <c r="E3" s="44">
        <v>4</v>
      </c>
      <c r="F3" s="44">
        <v>3</v>
      </c>
      <c r="G3" s="44">
        <v>3</v>
      </c>
      <c r="H3" s="44">
        <v>11</v>
      </c>
      <c r="I3" s="44">
        <v>2</v>
      </c>
      <c r="J3" s="44">
        <v>5</v>
      </c>
      <c r="K3" s="44">
        <v>12</v>
      </c>
      <c r="L3" s="44">
        <v>2</v>
      </c>
      <c r="M3" s="44">
        <v>7</v>
      </c>
      <c r="N3" s="45">
        <f>SUM(B3:M3)</f>
        <v>61</v>
      </c>
    </row>
    <row r="4" spans="1:14" ht="25.5">
      <c r="A4" s="43" t="s">
        <v>983</v>
      </c>
      <c r="B4" s="44">
        <v>3</v>
      </c>
      <c r="C4" s="44">
        <v>3</v>
      </c>
      <c r="D4" s="44">
        <v>2</v>
      </c>
      <c r="E4" s="44">
        <v>8</v>
      </c>
      <c r="F4" s="44">
        <v>4</v>
      </c>
      <c r="G4" s="44">
        <v>6</v>
      </c>
      <c r="H4" s="44">
        <v>9</v>
      </c>
      <c r="I4" s="44">
        <v>4</v>
      </c>
      <c r="J4" s="44">
        <v>9</v>
      </c>
      <c r="K4" s="44">
        <v>4</v>
      </c>
      <c r="L4" s="44">
        <v>1</v>
      </c>
      <c r="M4" s="44">
        <v>3</v>
      </c>
      <c r="N4" s="45">
        <f>SUM(B4:M4)</f>
        <v>56</v>
      </c>
    </row>
    <row r="5" spans="1:14" ht="25.5">
      <c r="A5" s="43" t="s">
        <v>984</v>
      </c>
      <c r="B5" s="44">
        <v>0</v>
      </c>
      <c r="C5" s="44">
        <v>0</v>
      </c>
      <c r="D5" s="44">
        <v>11</v>
      </c>
      <c r="E5" s="44">
        <v>8</v>
      </c>
      <c r="F5" s="44">
        <v>0</v>
      </c>
      <c r="G5" s="44">
        <v>7</v>
      </c>
      <c r="H5" s="44">
        <v>4</v>
      </c>
      <c r="I5" s="44">
        <v>3</v>
      </c>
      <c r="J5" s="44">
        <v>2</v>
      </c>
      <c r="K5" s="44">
        <v>9</v>
      </c>
      <c r="L5" s="44">
        <v>3</v>
      </c>
      <c r="M5" s="44">
        <v>0</v>
      </c>
      <c r="N5" s="45">
        <f>SUM(B5:M5)</f>
        <v>47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796F0-6965-4EFF-856F-D6168297D422}">
  <dimension ref="A1:N5"/>
  <sheetViews>
    <sheetView workbookViewId="0">
      <selection activeCell="A6" sqref="A6:XFD6"/>
    </sheetView>
  </sheetViews>
  <sheetFormatPr defaultRowHeight="15"/>
  <cols>
    <col min="1" max="16384" width="9" style="47"/>
  </cols>
  <sheetData>
    <row r="1" spans="1:14">
      <c r="A1" s="38" t="s">
        <v>969</v>
      </c>
      <c r="B1" s="39" t="s">
        <v>970</v>
      </c>
      <c r="C1" s="39" t="s">
        <v>971</v>
      </c>
      <c r="D1" s="39" t="s">
        <v>972</v>
      </c>
      <c r="E1" s="39" t="s">
        <v>973</v>
      </c>
      <c r="F1" s="39" t="s">
        <v>974</v>
      </c>
      <c r="G1" s="39" t="s">
        <v>975</v>
      </c>
      <c r="H1" s="39" t="s">
        <v>976</v>
      </c>
      <c r="I1" s="39" t="s">
        <v>977</v>
      </c>
      <c r="J1" s="39" t="s">
        <v>978</v>
      </c>
      <c r="K1" s="39" t="s">
        <v>979</v>
      </c>
      <c r="L1" s="39" t="s">
        <v>980</v>
      </c>
      <c r="M1" s="39" t="s">
        <v>981</v>
      </c>
      <c r="N1" s="40" t="s">
        <v>982</v>
      </c>
    </row>
    <row r="2" spans="1:14">
      <c r="A2" s="43" t="s">
        <v>36</v>
      </c>
      <c r="B2" s="48">
        <v>48</v>
      </c>
      <c r="C2" s="49">
        <v>42</v>
      </c>
      <c r="D2" s="49">
        <v>38</v>
      </c>
      <c r="E2" s="49">
        <v>47</v>
      </c>
      <c r="F2" s="49">
        <v>17</v>
      </c>
      <c r="G2" s="44">
        <v>16</v>
      </c>
      <c r="H2" s="44"/>
      <c r="I2" s="44"/>
      <c r="J2" s="44"/>
      <c r="K2" s="44"/>
      <c r="L2" s="44"/>
      <c r="M2" s="44"/>
      <c r="N2" s="45">
        <f>SUM(B2:M2)</f>
        <v>208</v>
      </c>
    </row>
    <row r="3" spans="1:14">
      <c r="A3" s="43" t="s">
        <v>114</v>
      </c>
      <c r="B3" s="49">
        <v>10</v>
      </c>
      <c r="C3" s="49">
        <v>6</v>
      </c>
      <c r="D3" s="49">
        <v>0</v>
      </c>
      <c r="E3" s="49">
        <v>0</v>
      </c>
      <c r="F3" s="49">
        <v>0</v>
      </c>
      <c r="G3" s="44">
        <v>0</v>
      </c>
      <c r="H3" s="44"/>
      <c r="I3" s="44"/>
      <c r="J3" s="44"/>
      <c r="K3" s="44"/>
      <c r="L3" s="44"/>
      <c r="M3" s="44"/>
      <c r="N3" s="45">
        <f>SUM(B3:M3)</f>
        <v>16</v>
      </c>
    </row>
    <row r="4" spans="1:14" ht="25.5">
      <c r="A4" s="43" t="s">
        <v>983</v>
      </c>
      <c r="B4" s="44">
        <v>6</v>
      </c>
      <c r="C4" s="44">
        <v>5</v>
      </c>
      <c r="D4" s="44">
        <v>5</v>
      </c>
      <c r="E4" s="44">
        <v>0</v>
      </c>
      <c r="F4" s="44">
        <v>0</v>
      </c>
      <c r="G4" s="44">
        <v>0</v>
      </c>
      <c r="H4" s="44"/>
      <c r="I4" s="44"/>
      <c r="J4" s="44"/>
      <c r="K4" s="44"/>
      <c r="L4" s="44"/>
      <c r="M4" s="44"/>
      <c r="N4" s="45">
        <f>SUM(B4:M4)</f>
        <v>16</v>
      </c>
    </row>
    <row r="5" spans="1:14" ht="25.5">
      <c r="A5" s="43" t="s">
        <v>984</v>
      </c>
      <c r="B5" s="44">
        <v>0</v>
      </c>
      <c r="C5" s="44">
        <v>0</v>
      </c>
      <c r="D5" s="44">
        <v>1</v>
      </c>
      <c r="E5" s="44">
        <v>0</v>
      </c>
      <c r="F5" s="44">
        <v>0</v>
      </c>
      <c r="G5" s="44">
        <v>0</v>
      </c>
      <c r="H5" s="44"/>
      <c r="I5" s="44"/>
      <c r="J5" s="44"/>
      <c r="K5" s="44"/>
      <c r="L5" s="44"/>
      <c r="M5" s="44"/>
      <c r="N5" s="45">
        <f>SUM(B5:M5)</f>
        <v>1</v>
      </c>
    </row>
  </sheetData>
  <phoneticPr fontId="3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Sheet1</vt:lpstr>
      <vt:lpstr>Sheet2</vt:lpstr>
      <vt:lpstr>2023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2026-09-14T05:04:04Z</dcterms:created>
  <dcterms:modified xsi:type="dcterms:W3CDTF">2026-09-14T06:17:53Z</dcterms:modified>
</cp:coreProperties>
</file>